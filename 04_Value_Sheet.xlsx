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er values" sheetId="1" state="visible" r:id="rId3"/>
    <sheet name="Detection" sheetId="2" state="visible" r:id="rId4"/>
    <sheet name="Tolerance" sheetId="3" state="visible" r:id="rId5"/>
    <sheet name="Components" sheetId="4" state="visible" r:id="rId6"/>
    <sheet name="Pin map" sheetId="5" state="visible" r:id="rId7"/>
    <sheet name="Test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<sst xmlns="http://schemas.openxmlformats.org/spreadsheetml/2006/main" count="510" uniqueCount="386">
  <si>
    <t xml:space="preserve">PREPAID METER UNDER TEST - DESIGN VALUES</t>
  </si>
  <si>
    <t xml:space="preserve">Blue = input you can change. Yellow = assumption to verify. Black = formula. All results come from these inputs.</t>
  </si>
  <si>
    <t xml:space="preserve">Item</t>
  </si>
  <si>
    <t xml:space="preserve">Value</t>
  </si>
  <si>
    <t xml:space="preserve">Unit</t>
  </si>
  <si>
    <t xml:space="preserve">Notes / source</t>
  </si>
  <si>
    <t xml:space="preserve">A. Supply and transformer TR1 (voltage channel)</t>
  </si>
  <si>
    <t xml:space="preserve">Mains voltage (RMS)</t>
  </si>
  <si>
    <t xml:space="preserve">V</t>
  </si>
  <si>
    <t xml:space="preserve">Nominal supply</t>
  </si>
  <si>
    <t xml:space="preserve">Mains frequency</t>
  </si>
  <si>
    <t xml:space="preserve">Hz</t>
  </si>
  <si>
    <t xml:space="preserve">Source amplitude (peak)</t>
  </si>
  <si>
    <t xml:space="preserve">Proteus ALTERNATOR amplitude is peak; you used 328 V</t>
  </si>
  <si>
    <t xml:space="preserve">TR1 primary inductance Lp</t>
  </si>
  <si>
    <t xml:space="preserve">H</t>
  </si>
  <si>
    <t xml:space="preserve">Proteus TRAN-2P2S property</t>
  </si>
  <si>
    <t xml:space="preserve">TR1 secondary inductance Ls</t>
  </si>
  <si>
    <t xml:space="preserve">TR1 turns ratio (Np:Ns)</t>
  </si>
  <si>
    <t xml:space="preserve">:1</t>
  </si>
  <si>
    <t xml:space="preserve">Voltage ratio = sqrt(Lp/Ls)</t>
  </si>
  <si>
    <t xml:space="preserve">TR1 coupling factor</t>
  </si>
  <si>
    <t xml:space="preserve">Use 0.999, not 1: k = 1 can stop the SPICE solver</t>
  </si>
  <si>
    <t xml:space="preserve">Secondary voltage (RMS)</t>
  </si>
  <si>
    <t xml:space="preserve">Check with the AC voltmeter across the secondary</t>
  </si>
  <si>
    <t xml:space="preserve">B. Divider and bias (A0)</t>
  </si>
  <si>
    <t xml:space="preserve">R1 (series)</t>
  </si>
  <si>
    <t xml:space="preserve">ohm</t>
  </si>
  <si>
    <t xml:space="preserve">R2 (A0 to VBIAS)</t>
  </si>
  <si>
    <t xml:space="preserve">R3 (+5 V to VBIAS)</t>
  </si>
  <si>
    <t xml:space="preserve">R4 (VBIAS to GND)</t>
  </si>
  <si>
    <t xml:space="preserve">Logic supply</t>
  </si>
  <si>
    <t xml:space="preserve">ADC reference (AREF = 5 V)</t>
  </si>
  <si>
    <t xml:space="preserve">C1 bias decoupling</t>
  </si>
  <si>
    <t xml:space="preserve">uF</t>
  </si>
  <si>
    <t xml:space="preserve">Must be 10 uF (1 nF does not hold the bias at 50 Hz)</t>
  </si>
  <si>
    <t xml:space="preserve">VBIAS (DC)</t>
  </si>
  <si>
    <t xml:space="preserve">Should be 2.5 V</t>
  </si>
  <si>
    <t xml:space="preserve">Divider ratio (R1+R2)/R2</t>
  </si>
  <si>
    <t xml:space="preserve">Peak voltage at A0 (AC part)</t>
  </si>
  <si>
    <t xml:space="preserve">Swings VBIAS +/- this value</t>
  </si>
  <si>
    <t xml:space="preserve">A0 minimum</t>
  </si>
  <si>
    <t xml:space="preserve">Must stay above 0 V</t>
  </si>
  <si>
    <t xml:space="preserve">A0 maximum</t>
  </si>
  <si>
    <t xml:space="preserve">Must stay below 5 V</t>
  </si>
  <si>
    <t xml:space="preserve">A0 range check</t>
  </si>
  <si>
    <t xml:space="preserve">Needs margin from the rails</t>
  </si>
  <si>
    <t xml:space="preserve">C. ADC scaling used in the sketches</t>
  </si>
  <si>
    <t xml:space="preserve">ADC steps</t>
  </si>
  <si>
    <t xml:space="preserve">10-bit ADC</t>
  </si>
  <si>
    <t xml:space="preserve">VOLT_PER_COUNT</t>
  </si>
  <si>
    <t xml:space="preserve">V/count</t>
  </si>
  <si>
    <t xml:space="preserve">Copy into the sketch if you change any value above</t>
  </si>
  <si>
    <t xml:space="preserve">Peak counts from 230 V</t>
  </si>
  <si>
    <t xml:space="preserve">counts</t>
  </si>
  <si>
    <t xml:space="preserve">Peak of the AC part of the A0 reading</t>
  </si>
  <si>
    <t xml:space="preserve">Voltage resolution (RMS)</t>
  </si>
  <si>
    <t xml:space="preserve">One ADC count in volts</t>
  </si>
  <si>
    <t xml:space="preserve">D. Current channel ACS712 (A1)</t>
  </si>
  <si>
    <t xml:space="preserve">ACS712 sensitivity (05B)</t>
  </si>
  <si>
    <t xml:space="preserve">V/A</t>
  </si>
  <si>
    <t xml:space="preserve">185 mV/A for the 5 A part; 100 mV/A (20 A), 66 mV/A (30 A)</t>
  </si>
  <si>
    <t xml:space="preserve">ACS712 zero-current output</t>
  </si>
  <si>
    <t xml:space="preserve">Vcc / 2</t>
  </si>
  <si>
    <t xml:space="preserve">AMP_PER_COUNT</t>
  </si>
  <si>
    <t xml:space="preserve">A/count</t>
  </si>
  <si>
    <t xml:space="preserve">Copy into the sketch if the sensor changes</t>
  </si>
  <si>
    <t xml:space="preserve">Noise floor in sketch</t>
  </si>
  <si>
    <t xml:space="preserve">A</t>
  </si>
  <si>
    <t xml:space="preserve">Currents below this are treated as zero</t>
  </si>
  <si>
    <t xml:space="preserve">Maximum measurable current (RMS)</t>
  </si>
  <si>
    <t xml:space="preserve">Before A1 clips</t>
  </si>
  <si>
    <t xml:space="preserve">E. Load levels (lamps)</t>
  </si>
  <si>
    <t xml:space="preserve">Lamp rating</t>
  </si>
  <si>
    <t xml:space="preserve">W</t>
  </si>
  <si>
    <t xml:space="preserve">Per lamp at the nominal voltage</t>
  </si>
  <si>
    <t xml:space="preserve">Lamp resistance (hot)</t>
  </si>
  <si>
    <t xml:space="preserve">Set the Proteus lamp to about this resistance / 230 V rating</t>
  </si>
  <si>
    <t xml:space="preserve">Lamps on</t>
  </si>
  <si>
    <t xml:space="preserve">Power (W)</t>
  </si>
  <si>
    <t xml:space="preserve">Current (A)</t>
  </si>
  <si>
    <t xml:space="preserve">A1 peak swing (V) / peak counts</t>
  </si>
  <si>
    <t xml:space="preserve">F. Relay driver</t>
  </si>
  <si>
    <t xml:space="preserve">Relay coil voltage</t>
  </si>
  <si>
    <t xml:space="preserve">Relay coil resistance</t>
  </si>
  <si>
    <t xml:space="preserve">ASSUMPTION: read it from the Proteus RELAY / datasheet</t>
  </si>
  <si>
    <t xml:space="preserve">Coil current</t>
  </si>
  <si>
    <t xml:space="preserve">mA</t>
  </si>
  <si>
    <t xml:space="preserve">BC547 minimum hFE</t>
  </si>
  <si>
    <t xml:space="preserve">Datasheet-level assumption</t>
  </si>
  <si>
    <t xml:space="preserve">Forced beta (design)</t>
  </si>
  <si>
    <t xml:space="preserve">Rule of thumb for saturation</t>
  </si>
  <si>
    <t xml:space="preserve">Required base current</t>
  </si>
  <si>
    <t xml:space="preserve">R5 maximum for saturation</t>
  </si>
  <si>
    <t xml:space="preserve">Conservative limit (forced beta 10). The chosen R5 only needs a forced beta well below hFE</t>
  </si>
  <si>
    <t xml:space="preserve">R5 chosen</t>
  </si>
  <si>
    <t xml:space="preserve">Actual base current</t>
  </si>
  <si>
    <t xml:space="preserve">Actual forced beta</t>
  </si>
  <si>
    <t xml:space="preserve">Below hFE min means Q1 saturates</t>
  </si>
  <si>
    <t xml:space="preserve">Arduino pin current check</t>
  </si>
  <si>
    <t xml:space="preserve">Mega pin limit about 20 mA continuous</t>
  </si>
  <si>
    <t xml:space="preserve">Saturation check</t>
  </si>
  <si>
    <t xml:space="preserve">R6 pull-down</t>
  </si>
  <si>
    <t xml:space="preserve">Keeps the relay off while the Mega boots</t>
  </si>
  <si>
    <t xml:space="preserve">G. Logic link to the verifier</t>
  </si>
  <si>
    <t xml:space="preserve">R8</t>
  </si>
  <si>
    <t xml:space="preserve">R9</t>
  </si>
  <si>
    <t xml:space="preserve">ESP32 RX voltage</t>
  </si>
  <si>
    <t xml:space="preserve">3.3 V logic: should be about 3.3 V</t>
  </si>
  <si>
    <t xml:space="preserve">Voltage-level check</t>
  </si>
  <si>
    <t xml:space="preserve">Proteus Mega-to-Mega link does not need the divider</t>
  </si>
  <si>
    <t xml:space="preserve">H. Billing</t>
  </si>
  <si>
    <t xml:space="preserve">Tariff</t>
  </si>
  <si>
    <t xml:space="preserve">N/kWh</t>
  </si>
  <si>
    <t xml:space="preserve">Demonstration value</t>
  </si>
  <si>
    <t xml:space="preserve">Initial balance</t>
  </si>
  <si>
    <t xml:space="preserve">N</t>
  </si>
  <si>
    <t xml:space="preserve">Low-balance warning</t>
  </si>
  <si>
    <t xml:space="preserve">TIME_ACCEL (demo)</t>
  </si>
  <si>
    <t xml:space="preserve">x</t>
  </si>
  <si>
    <t xml:space="preserve">1 simulated second billed as this many seconds. Use 1 for true time.</t>
  </si>
  <si>
    <t xml:space="preserve">Cost rate (N/h, real)</t>
  </si>
  <si>
    <t xml:space="preserve">Cost rate (N per sim s)</t>
  </si>
  <si>
    <t xml:space="preserve">Time to empty at initial balance (sim s)</t>
  </si>
  <si>
    <t xml:space="preserve">EXTERNAL VERIFIER - DETECTION SETTINGS AND EXAMPLE</t>
  </si>
  <si>
    <t xml:space="preserve">Notes</t>
  </si>
  <si>
    <t xml:space="preserve">A. Settings (match the firmware constants)</t>
  </si>
  <si>
    <t xml:space="preserve">Window length</t>
  </si>
  <si>
    <t xml:space="preserve">s</t>
  </si>
  <si>
    <t xml:space="preserve">WINDOW_S: meter-time seconds per comparison</t>
  </si>
  <si>
    <t xml:space="preserve">Tolerance</t>
  </si>
  <si>
    <t xml:space="preserve">%</t>
  </si>
  <si>
    <t xml:space="preserve">TOL_PCT: PLACEHOLDER. Set from normal-run data (see sheet 'Tolerance').</t>
  </si>
  <si>
    <t xml:space="preserve">Persistence</t>
  </si>
  <si>
    <t xml:space="preserve">windows</t>
  </si>
  <si>
    <t xml:space="preserve">PERSIST_N: windows in a row above tolerance before ALERT</t>
  </si>
  <si>
    <t xml:space="preserve">Minimum reference energy per window</t>
  </si>
  <si>
    <t xml:space="preserve">Wh</t>
  </si>
  <si>
    <t xml:space="preserve">MIN_REF_WH: smaller windows are skipped</t>
  </si>
  <si>
    <t xml:space="preserve">Meter TIME_ACCEL</t>
  </si>
  <si>
    <t xml:space="preserve">Link: must equal the verifier's frame value</t>
  </si>
  <si>
    <t xml:space="preserve">Minimum power for a valid window</t>
  </si>
  <si>
    <t xml:space="preserve">Below this the window is skipped (accounts for TIME_ACCEL)</t>
  </si>
  <si>
    <t xml:space="preserve">Time to ALERT after onset</t>
  </si>
  <si>
    <t xml:space="preserve">At least this long (meter time) after under-registration starts</t>
  </si>
  <si>
    <t xml:space="preserve">B. Worked example (illustrative, not a result)</t>
  </si>
  <si>
    <t xml:space="preserve">Reference energy in window</t>
  </si>
  <si>
    <t xml:space="preserve">200 W for 60 s at TIME_ACCEL 1</t>
  </si>
  <si>
    <t xml:space="preserve">Meter energy in window</t>
  </si>
  <si>
    <t xml:space="preserve">Meter registering 10% less</t>
  </si>
  <si>
    <t xml:space="preserve">Signed error e%</t>
  </si>
  <si>
    <t xml:space="preserve">e = (E_meter - E_ref) / E_ref x 100</t>
  </si>
  <si>
    <t xml:space="preserve">Under-registration U%</t>
  </si>
  <si>
    <t xml:space="preserve">U = (E_ref - E_meter) / E_ref x 100 (positive = under-registration)</t>
  </si>
  <si>
    <t xml:space="preserve">Window violates tolerance?</t>
  </si>
  <si>
    <t xml:space="preserve">Status after PERSIST_N such windows</t>
  </si>
  <si>
    <t xml:space="preserve">TOLERANCE FROM NORMAL RUNS</t>
  </si>
  <si>
    <t xml:space="preserve">Paste U% of NORMAL windows (label 0) in column A from row 5. Results update automatically.</t>
  </si>
  <si>
    <t xml:space="preserve">Column A holds EXAMPLE values only. Replace them with your measured normal-window U%.</t>
  </si>
  <si>
    <t xml:space="preserve">U% (normal)</t>
  </si>
  <si>
    <t xml:space="preserve">Statistic</t>
  </si>
  <si>
    <t xml:space="preserve">Meaning</t>
  </si>
  <si>
    <t xml:space="preserve">Count</t>
  </si>
  <si>
    <t xml:space="preserve">Number of windows</t>
  </si>
  <si>
    <t xml:space="preserve">Mean U%</t>
  </si>
  <si>
    <t xml:space="preserve">Systematic offset of the meter vs reference</t>
  </si>
  <si>
    <t xml:space="preserve">Std dev U%</t>
  </si>
  <si>
    <t xml:space="preserve">Spread of normal windows</t>
  </si>
  <si>
    <t xml:space="preserve">k (sigma multiple)</t>
  </si>
  <si>
    <t xml:space="preserve">3 sigma is a common starting point</t>
  </si>
  <si>
    <t xml:space="preserve">Suggested tolerance</t>
  </si>
  <si>
    <t xml:space="preserve">mean + k x sigma: use as TOL_PCT, then test false alarms</t>
  </si>
  <si>
    <t xml:space="preserve">Maximum observed U%</t>
  </si>
  <si>
    <t xml:space="preserve">Sanity check against the suggestion</t>
  </si>
  <si>
    <t xml:space="preserve">COMPONENT LIST</t>
  </si>
  <si>
    <t xml:space="preserve">Ref</t>
  </si>
  <si>
    <t xml:space="preserve">Part</t>
  </si>
  <si>
    <t xml:space="preserve">Proteus part / setting</t>
  </si>
  <si>
    <t xml:space="preserve">Qty</t>
  </si>
  <si>
    <t xml:space="preserve">AC1</t>
  </si>
  <si>
    <t xml:space="preserve">AC source</t>
  </si>
  <si>
    <t xml:space="preserve">230 V 50 Hz</t>
  </si>
  <si>
    <t xml:space="preserve">ALTERNATOR, amplitude 328 V</t>
  </si>
  <si>
    <t xml:space="preserve">Peak value; about 232 V RMS</t>
  </si>
  <si>
    <t xml:space="preserve">RL1</t>
  </si>
  <si>
    <t xml:space="preserve">Relay</t>
  </si>
  <si>
    <t xml:space="preserve">12 V coil</t>
  </si>
  <si>
    <t xml:space="preserve">RELAY (12 V)</t>
  </si>
  <si>
    <t xml:space="preserve">Coil in driver, contacts in mains path</t>
  </si>
  <si>
    <t xml:space="preserve">ACS1</t>
  </si>
  <si>
    <t xml:space="preserve">Current sensor</t>
  </si>
  <si>
    <t xml:space="preserve">ACS712-05B</t>
  </si>
  <si>
    <t xml:space="preserve">ACS712ELCTR-05B-T (library)</t>
  </si>
  <si>
    <t xml:space="preserve">Meter sensor</t>
  </si>
  <si>
    <t xml:space="preserve">ACS2</t>
  </si>
  <si>
    <t xml:space="preserve">Verifier sensor, in series with ACS1</t>
  </si>
  <si>
    <t xml:space="preserve">SW1-SW3</t>
  </si>
  <si>
    <t xml:space="preserve">Lamp switches</t>
  </si>
  <si>
    <t xml:space="preserve">SPST</t>
  </si>
  <si>
    <t xml:space="preserve">SWITCH (clickable)</t>
  </si>
  <si>
    <t xml:space="preserve">Click during simulation</t>
  </si>
  <si>
    <t xml:space="preserve">L1-L3</t>
  </si>
  <si>
    <t xml:space="preserve">Lamps</t>
  </si>
  <si>
    <t xml:space="preserve">100 W</t>
  </si>
  <si>
    <t xml:space="preserve">LAMP, Operating Voltage 230 V</t>
  </si>
  <si>
    <t xml:space="preserve">NOT 12 V</t>
  </si>
  <si>
    <t xml:space="preserve">TR1</t>
  </si>
  <si>
    <t xml:space="preserve">Transformer</t>
  </si>
  <si>
    <t xml:space="preserve">20:1</t>
  </si>
  <si>
    <t xml:space="preserve">TRAN-2P2S 400 H / 1 H, k 0.999</t>
  </si>
  <si>
    <t xml:space="preserve">Meter voltage sensing</t>
  </si>
  <si>
    <t xml:space="preserve">TR2</t>
  </si>
  <si>
    <t xml:space="preserve">Verifier voltage sensing</t>
  </si>
  <si>
    <t xml:space="preserve">R1</t>
  </si>
  <si>
    <t xml:space="preserve">Resistor</t>
  </si>
  <si>
    <t xml:space="preserve">68 kohm</t>
  </si>
  <si>
    <t xml:space="preserve">RES</t>
  </si>
  <si>
    <t xml:space="preserve">R2</t>
  </si>
  <si>
    <t xml:space="preserve">10 kohm</t>
  </si>
  <si>
    <t xml:space="preserve">R3</t>
  </si>
  <si>
    <t xml:space="preserve">R4</t>
  </si>
  <si>
    <t xml:space="preserve">C1</t>
  </si>
  <si>
    <t xml:space="preserve">Capacitor</t>
  </si>
  <si>
    <t xml:space="preserve">10 uF</t>
  </si>
  <si>
    <t xml:space="preserve">CAP-ELEC</t>
  </si>
  <si>
    <t xml:space="preserve">Bias decoupling</t>
  </si>
  <si>
    <t xml:space="preserve">C3</t>
  </si>
  <si>
    <t xml:space="preserve">1 nF</t>
  </si>
  <si>
    <t xml:space="preserve">CAP</t>
  </si>
  <si>
    <t xml:space="preserve">ACS1 FILTER</t>
  </si>
  <si>
    <t xml:space="preserve">R5</t>
  </si>
  <si>
    <t xml:space="preserve">2.2 kohm</t>
  </si>
  <si>
    <t xml:space="preserve">Base resistor</t>
  </si>
  <si>
    <t xml:space="preserve">R6</t>
  </si>
  <si>
    <t xml:space="preserve">100 kohm</t>
  </si>
  <si>
    <t xml:space="preserve">Base pull-down</t>
  </si>
  <si>
    <t xml:space="preserve">R7</t>
  </si>
  <si>
    <t xml:space="preserve">1 Mohm</t>
  </si>
  <si>
    <t xml:space="preserve">NEUTRAL to GND, simulation reference</t>
  </si>
  <si>
    <t xml:space="preserve">Q1</t>
  </si>
  <si>
    <t xml:space="preserve">Transistor</t>
  </si>
  <si>
    <t xml:space="preserve">BC547</t>
  </si>
  <si>
    <t xml:space="preserve">D1</t>
  </si>
  <si>
    <t xml:space="preserve">Diode</t>
  </si>
  <si>
    <t xml:space="preserve">1N4007</t>
  </si>
  <si>
    <t xml:space="preserve">Across relay coil</t>
  </si>
  <si>
    <t xml:space="preserve">B1</t>
  </si>
  <si>
    <t xml:space="preserve">Battery</t>
  </si>
  <si>
    <t xml:space="preserve">12 V</t>
  </si>
  <si>
    <t xml:space="preserve">BATTERY</t>
  </si>
  <si>
    <t xml:space="preserve">Relay coil supply</t>
  </si>
  <si>
    <t xml:space="preserve">B2/B3</t>
  </si>
  <si>
    <t xml:space="preserve">5 V</t>
  </si>
  <si>
    <t xml:space="preserve">Logic / LCD supply (ground common)</t>
  </si>
  <si>
    <t xml:space="preserve">1 kohm</t>
  </si>
  <si>
    <t xml:space="preserve">Hardware link divider</t>
  </si>
  <si>
    <t xml:space="preserve">2 kohm</t>
  </si>
  <si>
    <t xml:space="preserve">U1</t>
  </si>
  <si>
    <t xml:space="preserve">Arduino Mega 2560</t>
  </si>
  <si>
    <t xml:space="preserve">ARDUINO MEGA 2560 + 01_Meter_Mega2560.hex</t>
  </si>
  <si>
    <t xml:space="preserve">Meter under test</t>
  </si>
  <si>
    <t xml:space="preserve">LCD1</t>
  </si>
  <si>
    <t xml:space="preserve">LCD</t>
  </si>
  <si>
    <t xml:space="preserve">16x2</t>
  </si>
  <si>
    <t xml:space="preserve">LM044L</t>
  </si>
  <si>
    <t xml:space="preserve">RV1</t>
  </si>
  <si>
    <t xml:space="preserve">Potentiometer</t>
  </si>
  <si>
    <t xml:space="preserve">POT-HG</t>
  </si>
  <si>
    <t xml:space="preserve">Contrast</t>
  </si>
  <si>
    <t xml:space="preserve">KP1</t>
  </si>
  <si>
    <t xml:space="preserve">Keypad</t>
  </si>
  <si>
    <t xml:space="preserve">4x3</t>
  </si>
  <si>
    <t xml:space="preserve">KEYPAD-PHONE</t>
  </si>
  <si>
    <t xml:space="preserve">VT1</t>
  </si>
  <si>
    <t xml:space="preserve">Virtual terminal</t>
  </si>
  <si>
    <t xml:space="preserve">115200</t>
  </si>
  <si>
    <t xml:space="preserve">VIRTUAL TERMINAL</t>
  </si>
  <si>
    <t xml:space="preserve">Meter log</t>
  </si>
  <si>
    <t xml:space="preserve">U3</t>
  </si>
  <si>
    <t xml:space="preserve">ARDUINO MEGA 2560 + 04_Verifier_Proteus_Mega.hex</t>
  </si>
  <si>
    <t xml:space="preserve">Verifier stand-in</t>
  </si>
  <si>
    <t xml:space="preserve">LCD2</t>
  </si>
  <si>
    <t xml:space="preserve">RV2</t>
  </si>
  <si>
    <t xml:space="preserve">R10</t>
  </si>
  <si>
    <t xml:space="preserve">TR2 divider</t>
  </si>
  <si>
    <t xml:space="preserve">R11-R13</t>
  </si>
  <si>
    <t xml:space="preserve">TR2 divider and bias</t>
  </si>
  <si>
    <t xml:space="preserve">C5</t>
  </si>
  <si>
    <t xml:space="preserve">C6</t>
  </si>
  <si>
    <t xml:space="preserve">ACS2 FILTER</t>
  </si>
  <si>
    <t xml:space="preserve">R14-R16</t>
  </si>
  <si>
    <t xml:space="preserve">330 ohm</t>
  </si>
  <si>
    <t xml:space="preserve">LED resistors</t>
  </si>
  <si>
    <t xml:space="preserve">LED2-LED4</t>
  </si>
  <si>
    <t xml:space="preserve">LED</t>
  </si>
  <si>
    <t xml:space="preserve">green/yellow/red</t>
  </si>
  <si>
    <t xml:space="preserve">LED-GREEN / YELLOW / RED</t>
  </si>
  <si>
    <t xml:space="preserve">NORMAL / SUSPECT / ALERT</t>
  </si>
  <si>
    <t xml:space="preserve">VT2</t>
  </si>
  <si>
    <t xml:space="preserve">Verifier log and commands</t>
  </si>
  <si>
    <t xml:space="preserve">U2 (HW)</t>
  </si>
  <si>
    <t xml:space="preserve">ATM90E26 module</t>
  </si>
  <si>
    <t xml:space="preserve">No Proteus model</t>
  </si>
  <si>
    <t xml:space="preserve">Hardware stage, Sheet 2</t>
  </si>
  <si>
    <t xml:space="preserve">U4 (HW)</t>
  </si>
  <si>
    <t xml:space="preserve">ESP32 DevKit</t>
  </si>
  <si>
    <t xml:space="preserve">No official Proteus model</t>
  </si>
  <si>
    <t xml:space="preserve">VT, CT (HW)</t>
  </si>
  <si>
    <t xml:space="preserve">Voltage sensor, CT</t>
  </si>
  <si>
    <t xml:space="preserve">Hardware stage</t>
  </si>
  <si>
    <t xml:space="preserve">Ratings per module</t>
  </si>
  <si>
    <t xml:space="preserve">PIN MAP</t>
  </si>
  <si>
    <t xml:space="preserve">Board</t>
  </si>
  <si>
    <t xml:space="preserve">Pin</t>
  </si>
  <si>
    <t xml:space="preserve">Net</t>
  </si>
  <si>
    <t xml:space="preserve">Connects to</t>
  </si>
  <si>
    <t xml:space="preserve">Meter Mega U1</t>
  </si>
  <si>
    <t xml:space="preserve">A0</t>
  </si>
  <si>
    <t xml:space="preserve">VSENSE</t>
  </si>
  <si>
    <t xml:space="preserve">R1/R2 node from TR1 divider</t>
  </si>
  <si>
    <t xml:space="preserve">A1</t>
  </si>
  <si>
    <t xml:space="preserve">ISENSE</t>
  </si>
  <si>
    <t xml:space="preserve">ACS1 VIOUT</t>
  </si>
  <si>
    <t xml:space="preserve">D7</t>
  </si>
  <si>
    <t xml:space="preserve">RELAY_DRV</t>
  </si>
  <si>
    <t xml:space="preserve">R5 to Q1 base</t>
  </si>
  <si>
    <t xml:space="preserve">D18 (TX1)</t>
  </si>
  <si>
    <t xml:space="preserve">TX1</t>
  </si>
  <si>
    <t xml:space="preserve">Verifier D19 (Proteus) / R8-R9 to ESP32 GPIO16</t>
  </si>
  <si>
    <t xml:space="preserve">D1 (TX0)</t>
  </si>
  <si>
    <t xml:space="preserve">TX0</t>
  </si>
  <si>
    <t xml:space="preserve">D22-D27</t>
  </si>
  <si>
    <t xml:space="preserve">LCD_RS, LCD_E, LCD_D4-D7</t>
  </si>
  <si>
    <t xml:space="preserve">LCD1 RS, E, D4-D7</t>
  </si>
  <si>
    <t xml:space="preserve">D30-D33</t>
  </si>
  <si>
    <t xml:space="preserve">ROW_A-ROW_D</t>
  </si>
  <si>
    <t xml:space="preserve">KP1 rows A-D</t>
  </si>
  <si>
    <t xml:space="preserve">D34-D36</t>
  </si>
  <si>
    <t xml:space="preserve">COL_1-COL_3</t>
  </si>
  <si>
    <t xml:space="preserve">KP1 columns 1-3</t>
  </si>
  <si>
    <t xml:space="preserve">Verifier Mega U3</t>
  </si>
  <si>
    <t xml:space="preserve">VSENSE2</t>
  </si>
  <si>
    <t xml:space="preserve">ISENSE2</t>
  </si>
  <si>
    <t xml:space="preserve">ACS2 VIOUT</t>
  </si>
  <si>
    <t xml:space="preserve">D19 (RX1)</t>
  </si>
  <si>
    <t xml:space="preserve">FROM_METER</t>
  </si>
  <si>
    <t xml:space="preserve">Meter D18 (TX1)</t>
  </si>
  <si>
    <t xml:space="preserve">D1 / D0</t>
  </si>
  <si>
    <t xml:space="preserve">TX0 / RX0</t>
  </si>
  <si>
    <t xml:space="preserve">VT2 RXD / TXD</t>
  </si>
  <si>
    <t xml:space="preserve">LCD_RS ... LCD_D7</t>
  </si>
  <si>
    <t xml:space="preserve">D8, D9, D10</t>
  </si>
  <si>
    <t xml:space="preserve">LED_G, LED_Y, LED_R</t>
  </si>
  <si>
    <t xml:space="preserve">R14-R16 to LED2-LED4</t>
  </si>
  <si>
    <t xml:space="preserve">ESP32 (hardware)</t>
  </si>
  <si>
    <t xml:space="preserve">GPIO5</t>
  </si>
  <si>
    <t xml:space="preserve">CS</t>
  </si>
  <si>
    <t xml:space="preserve">ATM90E26 CS</t>
  </si>
  <si>
    <t xml:space="preserve">GPIO18</t>
  </si>
  <si>
    <t xml:space="preserve">SCK</t>
  </si>
  <si>
    <t xml:space="preserve">ATM90E26 SCK</t>
  </si>
  <si>
    <t xml:space="preserve">GPIO23</t>
  </si>
  <si>
    <t xml:space="preserve">MOSI</t>
  </si>
  <si>
    <t xml:space="preserve">ATM90E26 SDI</t>
  </si>
  <si>
    <t xml:space="preserve">GPIO19</t>
  </si>
  <si>
    <t xml:space="preserve">MISO</t>
  </si>
  <si>
    <t xml:space="preserve">ATM90E26 SDO</t>
  </si>
  <si>
    <t xml:space="preserve">GPIO16 (RX2)</t>
  </si>
  <si>
    <t xml:space="preserve">ESP_RX</t>
  </si>
  <si>
    <t xml:space="preserve">R8/R9 divider from meter TX1</t>
  </si>
  <si>
    <t xml:space="preserve">GPIO25/26/27</t>
  </si>
  <si>
    <t xml:space="preserve">LED_G/Y/R</t>
  </si>
  <si>
    <t xml:space="preserve">330 ohm to LEDs</t>
  </si>
  <si>
    <t xml:space="preserve">TEST LOG (fill in as you run each test)</t>
  </si>
  <si>
    <t xml:space="preserve">Test</t>
  </si>
  <si>
    <t xml:space="preserve">Vrms (LCD)</t>
  </si>
  <si>
    <t xml:space="preserve">Irms (LCD)</t>
  </si>
  <si>
    <t xml:space="preserve">P (LCD) W</t>
  </si>
  <si>
    <t xml:space="preserve">E_meter Wh</t>
  </si>
  <si>
    <t xml:space="preserve">E_ref Wh</t>
  </si>
  <si>
    <t xml:space="preserve">Error % (meter vs ref)</t>
  </si>
  <si>
    <t xml:space="preserve">U%</t>
  </si>
  <si>
    <t xml:space="preserve">Detected?</t>
  </si>
  <si>
    <t xml:space="preserve">EXAMPLE</t>
  </si>
  <si>
    <t xml:space="preserve">no</t>
  </si>
  <si>
    <t xml:space="preserve">Illustrative values only, replace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</si>
</sst>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"/>
    <numFmt numFmtId="167" formatCode="0.000"/>
    <numFmt numFmtId="168" formatCode="#,##0"/>
    <numFmt numFmtId="169" formatCode="0.0000"/>
    <numFmt numFmtId="170" formatCode="0.00000"/>
    <numFmt numFmtId="171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n">
        <v>230</v>
      </c>
      <c r="C6" s="6" t="s">
        <v>8</v>
      </c>
      <c r="D6" s="8" t="s">
        <v>9</v>
      </c>
    </row>
    <row r="7" customFormat="false" ht="15" hidden="false" customHeight="false" outlineLevel="0" collapsed="false">
      <c r="A7" s="6" t="s">
        <v>10</v>
      </c>
      <c r="B7" s="9" t="n">
        <v>50</v>
      </c>
      <c r="C7" s="6" t="s">
        <v>11</v>
      </c>
      <c r="D7" s="8"/>
    </row>
    <row r="8" customFormat="false" ht="15" hidden="false" customHeight="false" outlineLevel="0" collapsed="false">
      <c r="A8" s="6" t="s">
        <v>12</v>
      </c>
      <c r="B8" s="10" t="n">
        <f aca="false">B6*SQRT(2)</f>
        <v>325.269119345812</v>
      </c>
      <c r="C8" s="6" t="s">
        <v>8</v>
      </c>
      <c r="D8" s="8" t="s">
        <v>13</v>
      </c>
    </row>
    <row r="9" customFormat="false" ht="15" hidden="false" customHeight="false" outlineLevel="0" collapsed="false">
      <c r="A9" s="6" t="s">
        <v>14</v>
      </c>
      <c r="B9" s="9" t="n">
        <v>400</v>
      </c>
      <c r="C9" s="6" t="s">
        <v>15</v>
      </c>
      <c r="D9" s="8" t="s">
        <v>16</v>
      </c>
    </row>
    <row r="10" customFormat="false" ht="15" hidden="false" customHeight="false" outlineLevel="0" collapsed="false">
      <c r="A10" s="6" t="s">
        <v>17</v>
      </c>
      <c r="B10" s="9" t="n">
        <v>1</v>
      </c>
      <c r="C10" s="6" t="s">
        <v>15</v>
      </c>
      <c r="D10" s="8" t="s">
        <v>16</v>
      </c>
    </row>
    <row r="11" customFormat="false" ht="15" hidden="false" customHeight="false" outlineLevel="0" collapsed="false">
      <c r="A11" s="6" t="s">
        <v>18</v>
      </c>
      <c r="B11" s="11" t="n">
        <f aca="false">SQRT(B9/B10)</f>
        <v>20</v>
      </c>
      <c r="C11" s="6" t="s">
        <v>19</v>
      </c>
      <c r="D11" s="8" t="s">
        <v>20</v>
      </c>
    </row>
    <row r="12" customFormat="false" ht="15" hidden="false" customHeight="false" outlineLevel="0" collapsed="false">
      <c r="A12" s="6" t="s">
        <v>21</v>
      </c>
      <c r="B12" s="12" t="n">
        <v>0.999</v>
      </c>
      <c r="C12" s="6"/>
      <c r="D12" s="8" t="s">
        <v>22</v>
      </c>
    </row>
    <row r="13" customFormat="false" ht="15" hidden="false" customHeight="false" outlineLevel="0" collapsed="false">
      <c r="A13" s="6" t="s">
        <v>23</v>
      </c>
      <c r="B13" s="11" t="n">
        <f aca="false">B6/B11</f>
        <v>11.5</v>
      </c>
      <c r="C13" s="6" t="s">
        <v>8</v>
      </c>
      <c r="D13" s="8" t="s">
        <v>24</v>
      </c>
    </row>
    <row r="14" customFormat="false" ht="15" hidden="false" customHeight="false" outlineLevel="0" collapsed="false">
      <c r="A14" s="4" t="s">
        <v>25</v>
      </c>
      <c r="B14" s="5"/>
      <c r="C14" s="5"/>
      <c r="D14" s="5"/>
    </row>
    <row r="15" customFormat="false" ht="15" hidden="false" customHeight="false" outlineLevel="0" collapsed="false">
      <c r="A15" s="6" t="s">
        <v>26</v>
      </c>
      <c r="B15" s="13" t="n">
        <v>68000</v>
      </c>
      <c r="C15" s="6" t="s">
        <v>27</v>
      </c>
      <c r="D15" s="8"/>
    </row>
    <row r="16" customFormat="false" ht="15" hidden="false" customHeight="false" outlineLevel="0" collapsed="false">
      <c r="A16" s="6" t="s">
        <v>28</v>
      </c>
      <c r="B16" s="13" t="n">
        <v>10000</v>
      </c>
      <c r="C16" s="6" t="s">
        <v>27</v>
      </c>
      <c r="D16" s="8"/>
    </row>
    <row r="17" customFormat="false" ht="15" hidden="false" customHeight="false" outlineLevel="0" collapsed="false">
      <c r="A17" s="6" t="s">
        <v>29</v>
      </c>
      <c r="B17" s="13" t="n">
        <v>10000</v>
      </c>
      <c r="C17" s="6" t="s">
        <v>27</v>
      </c>
      <c r="D17" s="8"/>
    </row>
    <row r="18" customFormat="false" ht="15" hidden="false" customHeight="false" outlineLevel="0" collapsed="false">
      <c r="A18" s="6" t="s">
        <v>30</v>
      </c>
      <c r="B18" s="13" t="n">
        <v>10000</v>
      </c>
      <c r="C18" s="6" t="s">
        <v>27</v>
      </c>
      <c r="D18" s="8"/>
    </row>
    <row r="19" customFormat="false" ht="15" hidden="false" customHeight="false" outlineLevel="0" collapsed="false">
      <c r="A19" s="6" t="s">
        <v>31</v>
      </c>
      <c r="B19" s="9" t="n">
        <v>5</v>
      </c>
      <c r="C19" s="6" t="s">
        <v>8</v>
      </c>
      <c r="D19" s="8" t="s">
        <v>32</v>
      </c>
    </row>
    <row r="20" customFormat="false" ht="15" hidden="false" customHeight="false" outlineLevel="0" collapsed="false">
      <c r="A20" s="6" t="s">
        <v>33</v>
      </c>
      <c r="B20" s="9" t="n">
        <v>10</v>
      </c>
      <c r="C20" s="6" t="s">
        <v>34</v>
      </c>
      <c r="D20" s="8" t="s">
        <v>35</v>
      </c>
    </row>
    <row r="21" customFormat="false" ht="15" hidden="false" customHeight="false" outlineLevel="0" collapsed="false">
      <c r="A21" s="6" t="s">
        <v>36</v>
      </c>
      <c r="B21" s="14" t="n">
        <f aca="false">B19*B18/(B17+B18)</f>
        <v>2.5</v>
      </c>
      <c r="C21" s="6" t="s">
        <v>8</v>
      </c>
      <c r="D21" s="8" t="s">
        <v>37</v>
      </c>
    </row>
    <row r="22" customFormat="false" ht="15" hidden="false" customHeight="false" outlineLevel="0" collapsed="false">
      <c r="A22" s="6" t="s">
        <v>38</v>
      </c>
      <c r="B22" s="11" t="n">
        <f aca="false">(B15+B16)/B16</f>
        <v>7.8</v>
      </c>
      <c r="C22" s="6"/>
      <c r="D22" s="8"/>
    </row>
    <row r="23" customFormat="false" ht="15" hidden="false" customHeight="false" outlineLevel="0" collapsed="false">
      <c r="A23" s="6" t="s">
        <v>39</v>
      </c>
      <c r="B23" s="14" t="n">
        <f aca="false">B13*SQRT(2)*B16/(B15+B16)</f>
        <v>2.08505845734495</v>
      </c>
      <c r="C23" s="6" t="s">
        <v>8</v>
      </c>
      <c r="D23" s="8" t="s">
        <v>40</v>
      </c>
    </row>
    <row r="24" customFormat="false" ht="15" hidden="false" customHeight="false" outlineLevel="0" collapsed="false">
      <c r="A24" s="6" t="s">
        <v>41</v>
      </c>
      <c r="B24" s="14" t="n">
        <f aca="false">B21-B23</f>
        <v>0.414941542655052</v>
      </c>
      <c r="C24" s="6" t="s">
        <v>8</v>
      </c>
      <c r="D24" s="8" t="s">
        <v>42</v>
      </c>
    </row>
    <row r="25" customFormat="false" ht="15" hidden="false" customHeight="false" outlineLevel="0" collapsed="false">
      <c r="A25" s="6" t="s">
        <v>43</v>
      </c>
      <c r="B25" s="14" t="n">
        <f aca="false">B21+B23</f>
        <v>4.58505845734495</v>
      </c>
      <c r="C25" s="6" t="s">
        <v>8</v>
      </c>
      <c r="D25" s="8" t="s">
        <v>44</v>
      </c>
    </row>
    <row r="26" customFormat="false" ht="15" hidden="false" customHeight="false" outlineLevel="0" collapsed="false">
      <c r="A26" s="6" t="s">
        <v>45</v>
      </c>
      <c r="B26" s="6" t="str">
        <f aca="false">IF(AND(B24&gt;0.2,B25&lt;4.8),"OK","CHECK")</f>
        <v>OK</v>
      </c>
      <c r="C26" s="6"/>
      <c r="D26" s="8" t="s">
        <v>46</v>
      </c>
    </row>
    <row r="27" customFormat="false" ht="15" hidden="false" customHeight="false" outlineLevel="0" collapsed="false">
      <c r="A27" s="4" t="s">
        <v>47</v>
      </c>
      <c r="B27" s="5"/>
      <c r="C27" s="5"/>
      <c r="D27" s="5"/>
    </row>
    <row r="28" customFormat="false" ht="15" hidden="false" customHeight="false" outlineLevel="0" collapsed="false">
      <c r="A28" s="6" t="s">
        <v>48</v>
      </c>
      <c r="B28" s="9" t="n">
        <v>1023</v>
      </c>
      <c r="C28" s="6"/>
      <c r="D28" s="8" t="s">
        <v>49</v>
      </c>
    </row>
    <row r="29" customFormat="false" ht="15" hidden="false" customHeight="false" outlineLevel="0" collapsed="false">
      <c r="A29" s="6" t="s">
        <v>50</v>
      </c>
      <c r="B29" s="15" t="n">
        <f aca="false">(B19/B28)*B22*B11</f>
        <v>0.762463343108504</v>
      </c>
      <c r="C29" s="6" t="s">
        <v>51</v>
      </c>
      <c r="D29" s="8" t="s">
        <v>52</v>
      </c>
    </row>
    <row r="30" customFormat="false" ht="15" hidden="false" customHeight="false" outlineLevel="0" collapsed="false">
      <c r="A30" s="6" t="s">
        <v>53</v>
      </c>
      <c r="B30" s="10" t="n">
        <f aca="false">B8/B29</f>
        <v>426.602960372776</v>
      </c>
      <c r="C30" s="6" t="s">
        <v>54</v>
      </c>
      <c r="D30" s="8" t="s">
        <v>55</v>
      </c>
    </row>
    <row r="31" customFormat="false" ht="15" hidden="false" customHeight="false" outlineLevel="0" collapsed="false">
      <c r="A31" s="6" t="s">
        <v>56</v>
      </c>
      <c r="B31" s="14" t="n">
        <f aca="false">B29</f>
        <v>0.762463343108504</v>
      </c>
      <c r="C31" s="6" t="s">
        <v>51</v>
      </c>
      <c r="D31" s="8" t="s">
        <v>57</v>
      </c>
    </row>
    <row r="32" customFormat="false" ht="15" hidden="false" customHeight="false" outlineLevel="0" collapsed="false">
      <c r="A32" s="4" t="s">
        <v>58</v>
      </c>
      <c r="B32" s="5"/>
      <c r="C32" s="5"/>
      <c r="D32" s="5"/>
    </row>
    <row r="33" customFormat="false" ht="15" hidden="false" customHeight="false" outlineLevel="0" collapsed="false">
      <c r="A33" s="6" t="s">
        <v>59</v>
      </c>
      <c r="B33" s="16" t="n">
        <v>0.185</v>
      </c>
      <c r="C33" s="6" t="s">
        <v>60</v>
      </c>
      <c r="D33" s="8" t="s">
        <v>61</v>
      </c>
    </row>
    <row r="34" customFormat="false" ht="15" hidden="false" customHeight="false" outlineLevel="0" collapsed="false">
      <c r="A34" s="6" t="s">
        <v>62</v>
      </c>
      <c r="B34" s="11" t="n">
        <f aca="false">B19/2</f>
        <v>2.5</v>
      </c>
      <c r="C34" s="6" t="s">
        <v>8</v>
      </c>
      <c r="D34" s="8" t="s">
        <v>63</v>
      </c>
    </row>
    <row r="35" customFormat="false" ht="15" hidden="false" customHeight="false" outlineLevel="0" collapsed="false">
      <c r="A35" s="6" t="s">
        <v>64</v>
      </c>
      <c r="B35" s="17" t="n">
        <f aca="false">(B19/B28)/B33</f>
        <v>0.0264193812580909</v>
      </c>
      <c r="C35" s="6" t="s">
        <v>65</v>
      </c>
      <c r="D35" s="8" t="s">
        <v>66</v>
      </c>
    </row>
    <row r="36" customFormat="false" ht="15" hidden="false" customHeight="false" outlineLevel="0" collapsed="false">
      <c r="A36" s="6" t="s">
        <v>67</v>
      </c>
      <c r="B36" s="18" t="n">
        <v>0.03</v>
      </c>
      <c r="C36" s="6" t="s">
        <v>68</v>
      </c>
      <c r="D36" s="8" t="s">
        <v>69</v>
      </c>
    </row>
    <row r="37" customFormat="false" ht="15" hidden="false" customHeight="false" outlineLevel="0" collapsed="false">
      <c r="A37" s="6" t="s">
        <v>70</v>
      </c>
      <c r="B37" s="11" t="n">
        <f aca="false">(B19/2/B33)/SQRT(2)</f>
        <v>9.55549704306145</v>
      </c>
      <c r="C37" s="6" t="s">
        <v>68</v>
      </c>
      <c r="D37" s="8" t="s">
        <v>71</v>
      </c>
    </row>
    <row r="38" customFormat="false" ht="15" hidden="false" customHeight="false" outlineLevel="0" collapsed="false">
      <c r="A38" s="4" t="s">
        <v>72</v>
      </c>
      <c r="B38" s="5"/>
      <c r="C38" s="5"/>
      <c r="D38" s="5"/>
    </row>
    <row r="39" customFormat="false" ht="15" hidden="false" customHeight="false" outlineLevel="0" collapsed="false">
      <c r="A39" s="6" t="s">
        <v>73</v>
      </c>
      <c r="B39" s="9" t="n">
        <v>100</v>
      </c>
      <c r="C39" s="6" t="s">
        <v>74</v>
      </c>
      <c r="D39" s="8" t="s">
        <v>75</v>
      </c>
    </row>
    <row r="40" customFormat="false" ht="15" hidden="false" customHeight="false" outlineLevel="0" collapsed="false">
      <c r="A40" s="6" t="s">
        <v>76</v>
      </c>
      <c r="B40" s="10" t="n">
        <f aca="false">B6^2/B39</f>
        <v>529</v>
      </c>
      <c r="C40" s="6" t="s">
        <v>27</v>
      </c>
      <c r="D40" s="8" t="s">
        <v>77</v>
      </c>
    </row>
    <row r="42" customFormat="false" ht="15" hidden="false" customHeight="false" outlineLevel="0" collapsed="false">
      <c r="A42" s="3" t="s">
        <v>78</v>
      </c>
      <c r="B42" s="3" t="s">
        <v>79</v>
      </c>
      <c r="C42" s="3" t="s">
        <v>80</v>
      </c>
      <c r="D42" s="3" t="s">
        <v>81</v>
      </c>
    </row>
    <row r="43" customFormat="false" ht="15" hidden="false" customHeight="false" outlineLevel="0" collapsed="false">
      <c r="A43" s="9" t="n">
        <v>1</v>
      </c>
      <c r="B43" s="6" t="n">
        <f aca="false">A43*$B$39</f>
        <v>100</v>
      </c>
      <c r="C43" s="14" t="n">
        <f aca="false">B43/$B$6</f>
        <v>0.434782608695652</v>
      </c>
      <c r="D43" s="6" t="str">
        <f aca="false">TEXT(C43*SQRT(2)*$B$33,"0.000")&amp;" V  /  "&amp;TEXT(C43*SQRT(2)/$B$35,"0")&amp;" counts"</f>
        <v>0.114 V  /  23 counts</v>
      </c>
    </row>
    <row r="44" customFormat="false" ht="15" hidden="false" customHeight="false" outlineLevel="0" collapsed="false">
      <c r="A44" s="9" t="n">
        <v>2</v>
      </c>
      <c r="B44" s="6" t="n">
        <f aca="false">A44*$B$39</f>
        <v>200</v>
      </c>
      <c r="C44" s="14" t="n">
        <f aca="false">B44/$B$6</f>
        <v>0.869565217391304</v>
      </c>
      <c r="D44" s="6" t="str">
        <f aca="false">TEXT(C44*SQRT(2)*$B$33,"0.000")&amp;" V  /  "&amp;TEXT(C44*SQRT(2)/$B$35,"0")&amp;" counts"</f>
        <v>0.228 V  /  47 counts</v>
      </c>
    </row>
    <row r="45" customFormat="false" ht="15" hidden="false" customHeight="false" outlineLevel="0" collapsed="false">
      <c r="A45" s="9" t="n">
        <v>3</v>
      </c>
      <c r="B45" s="6" t="n">
        <f aca="false">A45*$B$39</f>
        <v>300</v>
      </c>
      <c r="C45" s="14" t="n">
        <f aca="false">B45/$B$6</f>
        <v>1.30434782608696</v>
      </c>
      <c r="D45" s="6" t="str">
        <f aca="false">TEXT(C45*SQRT(2)*$B$33,"0.000")&amp;" V  /  "&amp;TEXT(C45*SQRT(2)/$B$35,"0")&amp;" counts"</f>
        <v>0.341 V  /  70 counts</v>
      </c>
    </row>
    <row r="47" customFormat="false" ht="15" hidden="false" customHeight="false" outlineLevel="0" collapsed="false">
      <c r="A47" s="4" t="s">
        <v>82</v>
      </c>
      <c r="B47" s="5"/>
      <c r="C47" s="5"/>
      <c r="D47" s="5"/>
    </row>
    <row r="48" customFormat="false" ht="15" hidden="false" customHeight="false" outlineLevel="0" collapsed="false">
      <c r="A48" s="6" t="s">
        <v>83</v>
      </c>
      <c r="B48" s="9" t="n">
        <v>12</v>
      </c>
      <c r="C48" s="6" t="s">
        <v>8</v>
      </c>
      <c r="D48" s="8"/>
    </row>
    <row r="49" customFormat="false" ht="15" hidden="false" customHeight="false" outlineLevel="0" collapsed="false">
      <c r="A49" s="6" t="s">
        <v>84</v>
      </c>
      <c r="B49" s="19" t="n">
        <v>400</v>
      </c>
      <c r="C49" s="6" t="s">
        <v>27</v>
      </c>
      <c r="D49" s="8" t="s">
        <v>85</v>
      </c>
    </row>
    <row r="50" customFormat="false" ht="15" hidden="false" customHeight="false" outlineLevel="0" collapsed="false">
      <c r="A50" s="6" t="s">
        <v>86</v>
      </c>
      <c r="B50" s="10" t="n">
        <f aca="false">B48/B49*1000</f>
        <v>30</v>
      </c>
      <c r="C50" s="6" t="s">
        <v>87</v>
      </c>
      <c r="D50" s="8"/>
    </row>
    <row r="51" customFormat="false" ht="15" hidden="false" customHeight="false" outlineLevel="0" collapsed="false">
      <c r="A51" s="6" t="s">
        <v>88</v>
      </c>
      <c r="B51" s="19" t="n">
        <v>110</v>
      </c>
      <c r="C51" s="6"/>
      <c r="D51" s="8" t="s">
        <v>89</v>
      </c>
    </row>
    <row r="52" customFormat="false" ht="15" hidden="false" customHeight="false" outlineLevel="0" collapsed="false">
      <c r="A52" s="6" t="s">
        <v>90</v>
      </c>
      <c r="B52" s="9" t="n">
        <v>10</v>
      </c>
      <c r="C52" s="6"/>
      <c r="D52" s="8" t="s">
        <v>91</v>
      </c>
    </row>
    <row r="53" customFormat="false" ht="15" hidden="false" customHeight="false" outlineLevel="0" collapsed="false">
      <c r="A53" s="6" t="s">
        <v>92</v>
      </c>
      <c r="B53" s="11" t="n">
        <f aca="false">B50/B52</f>
        <v>3</v>
      </c>
      <c r="C53" s="6" t="s">
        <v>87</v>
      </c>
      <c r="D53" s="8"/>
    </row>
    <row r="54" customFormat="false" ht="23.85" hidden="false" customHeight="false" outlineLevel="0" collapsed="false">
      <c r="A54" s="6" t="s">
        <v>93</v>
      </c>
      <c r="B54" s="20" t="n">
        <f aca="false">(B19-0.7)/(B53/1000)</f>
        <v>1433.33333333333</v>
      </c>
      <c r="C54" s="6" t="s">
        <v>27</v>
      </c>
      <c r="D54" s="8" t="s">
        <v>94</v>
      </c>
    </row>
    <row r="55" customFormat="false" ht="15" hidden="false" customHeight="false" outlineLevel="0" collapsed="false">
      <c r="A55" s="6" t="s">
        <v>95</v>
      </c>
      <c r="B55" s="13" t="n">
        <v>2200</v>
      </c>
      <c r="C55" s="6" t="s">
        <v>27</v>
      </c>
      <c r="D55" s="8"/>
    </row>
    <row r="56" customFormat="false" ht="15" hidden="false" customHeight="false" outlineLevel="0" collapsed="false">
      <c r="A56" s="6" t="s">
        <v>96</v>
      </c>
      <c r="B56" s="11" t="n">
        <f aca="false">(B19-0.7)/B55*1000</f>
        <v>1.95454545454545</v>
      </c>
      <c r="C56" s="6" t="s">
        <v>87</v>
      </c>
      <c r="D56" s="8"/>
    </row>
    <row r="57" customFormat="false" ht="15" hidden="false" customHeight="false" outlineLevel="0" collapsed="false">
      <c r="A57" s="6" t="s">
        <v>97</v>
      </c>
      <c r="B57" s="10" t="n">
        <f aca="false">B50/B56</f>
        <v>15.3488372093023</v>
      </c>
      <c r="C57" s="6"/>
      <c r="D57" s="8" t="s">
        <v>98</v>
      </c>
    </row>
    <row r="58" customFormat="false" ht="15" hidden="false" customHeight="false" outlineLevel="0" collapsed="false">
      <c r="A58" s="6" t="s">
        <v>99</v>
      </c>
      <c r="B58" s="6" t="str">
        <f aca="false">IF(B56&lt;20,"OK (&lt;20 mA)","CHECK")</f>
        <v>OK (&lt;20 mA)</v>
      </c>
      <c r="C58" s="6"/>
      <c r="D58" s="8" t="s">
        <v>100</v>
      </c>
    </row>
    <row r="59" customFormat="false" ht="15" hidden="false" customHeight="false" outlineLevel="0" collapsed="false">
      <c r="A59" s="6" t="s">
        <v>101</v>
      </c>
      <c r="B59" s="6" t="str">
        <f aca="false">IF(B57&lt;B51,"OK","CHECK R5")</f>
        <v>OK</v>
      </c>
      <c r="C59" s="6"/>
      <c r="D59" s="8"/>
    </row>
    <row r="60" customFormat="false" ht="15" hidden="false" customHeight="false" outlineLevel="0" collapsed="false">
      <c r="A60" s="6" t="s">
        <v>102</v>
      </c>
      <c r="B60" s="13" t="n">
        <v>100000</v>
      </c>
      <c r="C60" s="6" t="s">
        <v>27</v>
      </c>
      <c r="D60" s="8" t="s">
        <v>103</v>
      </c>
    </row>
    <row r="61" customFormat="false" ht="15" hidden="false" customHeight="false" outlineLevel="0" collapsed="false">
      <c r="A61" s="4" t="s">
        <v>104</v>
      </c>
      <c r="B61" s="5"/>
      <c r="C61" s="5"/>
      <c r="D61" s="5"/>
    </row>
    <row r="62" customFormat="false" ht="15" hidden="false" customHeight="false" outlineLevel="0" collapsed="false">
      <c r="A62" s="6" t="s">
        <v>105</v>
      </c>
      <c r="B62" s="13" t="n">
        <v>1000</v>
      </c>
      <c r="C62" s="6" t="s">
        <v>27</v>
      </c>
      <c r="D62" s="8"/>
    </row>
    <row r="63" customFormat="false" ht="15" hidden="false" customHeight="false" outlineLevel="0" collapsed="false">
      <c r="A63" s="6" t="s">
        <v>106</v>
      </c>
      <c r="B63" s="13" t="n">
        <v>2000</v>
      </c>
      <c r="C63" s="6" t="s">
        <v>27</v>
      </c>
      <c r="D63" s="8"/>
    </row>
    <row r="64" customFormat="false" ht="15" hidden="false" customHeight="false" outlineLevel="0" collapsed="false">
      <c r="A64" s="6" t="s">
        <v>107</v>
      </c>
      <c r="B64" s="11" t="n">
        <f aca="false">B19*B63/(B62+B63)</f>
        <v>3.33333333333333</v>
      </c>
      <c r="C64" s="6" t="s">
        <v>8</v>
      </c>
      <c r="D64" s="8" t="s">
        <v>108</v>
      </c>
    </row>
    <row r="65" customFormat="false" ht="15" hidden="false" customHeight="false" outlineLevel="0" collapsed="false">
      <c r="A65" s="6" t="s">
        <v>109</v>
      </c>
      <c r="B65" s="6" t="str">
        <f aca="false">IF(AND(B64&gt;2.5,B64&lt;3.6),"OK","CHECK")</f>
        <v>OK</v>
      </c>
      <c r="C65" s="6"/>
      <c r="D65" s="8" t="s">
        <v>110</v>
      </c>
    </row>
    <row r="66" customFormat="false" ht="15" hidden="false" customHeight="false" outlineLevel="0" collapsed="false">
      <c r="A66" s="4" t="s">
        <v>111</v>
      </c>
      <c r="B66" s="5"/>
      <c r="C66" s="5"/>
      <c r="D66" s="5"/>
    </row>
    <row r="67" customFormat="false" ht="15" hidden="false" customHeight="false" outlineLevel="0" collapsed="false">
      <c r="A67" s="6" t="s">
        <v>112</v>
      </c>
      <c r="B67" s="9" t="n">
        <v>100</v>
      </c>
      <c r="C67" s="6" t="s">
        <v>113</v>
      </c>
      <c r="D67" s="8" t="s">
        <v>114</v>
      </c>
    </row>
    <row r="68" customFormat="false" ht="15" hidden="false" customHeight="false" outlineLevel="0" collapsed="false">
      <c r="A68" s="6" t="s">
        <v>115</v>
      </c>
      <c r="B68" s="13" t="n">
        <v>1000</v>
      </c>
      <c r="C68" s="6" t="s">
        <v>116</v>
      </c>
      <c r="D68" s="8"/>
    </row>
    <row r="69" customFormat="false" ht="15" hidden="false" customHeight="false" outlineLevel="0" collapsed="false">
      <c r="A69" s="6" t="s">
        <v>117</v>
      </c>
      <c r="B69" s="13" t="n">
        <v>100</v>
      </c>
      <c r="C69" s="6" t="s">
        <v>116</v>
      </c>
      <c r="D69" s="8"/>
    </row>
    <row r="70" customFormat="false" ht="15" hidden="false" customHeight="false" outlineLevel="0" collapsed="false">
      <c r="A70" s="6" t="s">
        <v>118</v>
      </c>
      <c r="B70" s="19" t="n">
        <v>600</v>
      </c>
      <c r="C70" s="6" t="s">
        <v>119</v>
      </c>
      <c r="D70" s="8" t="s">
        <v>120</v>
      </c>
    </row>
    <row r="72" customFormat="false" ht="23.85" hidden="false" customHeight="false" outlineLevel="0" collapsed="false">
      <c r="A72" s="3" t="s">
        <v>78</v>
      </c>
      <c r="B72" s="3" t="s">
        <v>121</v>
      </c>
      <c r="C72" s="3" t="s">
        <v>122</v>
      </c>
      <c r="D72" s="3" t="s">
        <v>123</v>
      </c>
    </row>
    <row r="73" customFormat="false" ht="15" hidden="false" customHeight="false" outlineLevel="0" collapsed="false">
      <c r="A73" s="9" t="n">
        <v>1</v>
      </c>
      <c r="B73" s="11" t="n">
        <f aca="false">A73*$B$39/1000*$B$67</f>
        <v>10</v>
      </c>
      <c r="C73" s="14" t="n">
        <f aca="false">B73/3600*$B$70</f>
        <v>1.66666666666667</v>
      </c>
      <c r="D73" s="20" t="n">
        <f aca="false">$B$68/C73</f>
        <v>600</v>
      </c>
    </row>
    <row r="74" customFormat="false" ht="15" hidden="false" customHeight="false" outlineLevel="0" collapsed="false">
      <c r="A74" s="9" t="n">
        <v>2</v>
      </c>
      <c r="B74" s="11" t="n">
        <f aca="false">A74*$B$39/1000*$B$67</f>
        <v>20</v>
      </c>
      <c r="C74" s="14" t="n">
        <f aca="false">B74/3600*$B$70</f>
        <v>3.33333333333333</v>
      </c>
      <c r="D74" s="20" t="n">
        <f aca="false">$B$68/C74</f>
        <v>300</v>
      </c>
    </row>
    <row r="75" customFormat="false" ht="15" hidden="false" customHeight="false" outlineLevel="0" collapsed="false">
      <c r="A75" s="9" t="n">
        <v>3</v>
      </c>
      <c r="B75" s="11" t="n">
        <f aca="false">A75*$B$39/1000*$B$67</f>
        <v>30</v>
      </c>
      <c r="C75" s="14" t="n">
        <f aca="false">B75/3600*$B$70</f>
        <v>5</v>
      </c>
      <c r="D75" s="20" t="n">
        <f aca="false">$B$68/C75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124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125</v>
      </c>
    </row>
    <row r="4" customFormat="false" ht="15" hidden="false" customHeight="false" outlineLevel="0" collapsed="false">
      <c r="A4" s="4" t="s">
        <v>126</v>
      </c>
      <c r="B4" s="5"/>
      <c r="C4" s="5"/>
      <c r="D4" s="5"/>
    </row>
    <row r="5" customFormat="false" ht="15" hidden="false" customHeight="false" outlineLevel="0" collapsed="false">
      <c r="A5" s="6" t="s">
        <v>127</v>
      </c>
      <c r="B5" s="9" t="n">
        <v>60</v>
      </c>
      <c r="C5" s="6" t="s">
        <v>128</v>
      </c>
      <c r="D5" s="8" t="s">
        <v>129</v>
      </c>
    </row>
    <row r="6" customFormat="false" ht="15" hidden="false" customHeight="false" outlineLevel="0" collapsed="false">
      <c r="A6" s="6" t="s">
        <v>130</v>
      </c>
      <c r="B6" s="19" t="n">
        <v>3</v>
      </c>
      <c r="C6" s="6" t="s">
        <v>131</v>
      </c>
      <c r="D6" s="8" t="s">
        <v>132</v>
      </c>
    </row>
    <row r="7" customFormat="false" ht="15" hidden="false" customHeight="false" outlineLevel="0" collapsed="false">
      <c r="A7" s="6" t="s">
        <v>133</v>
      </c>
      <c r="B7" s="9" t="n">
        <v>3</v>
      </c>
      <c r="C7" s="6" t="s">
        <v>134</v>
      </c>
      <c r="D7" s="8" t="s">
        <v>135</v>
      </c>
    </row>
    <row r="8" customFormat="false" ht="15" hidden="false" customHeight="false" outlineLevel="0" collapsed="false">
      <c r="A8" s="6" t="s">
        <v>136</v>
      </c>
      <c r="B8" s="9" t="n">
        <v>0.5</v>
      </c>
      <c r="C8" s="6" t="s">
        <v>137</v>
      </c>
      <c r="D8" s="8" t="s">
        <v>138</v>
      </c>
    </row>
    <row r="9" customFormat="false" ht="15" hidden="false" customHeight="false" outlineLevel="0" collapsed="false">
      <c r="A9" s="6" t="s">
        <v>139</v>
      </c>
      <c r="B9" s="21" t="n">
        <f aca="false">'Meter values'!B70</f>
        <v>600</v>
      </c>
      <c r="C9" s="6" t="s">
        <v>119</v>
      </c>
      <c r="D9" s="8" t="s">
        <v>140</v>
      </c>
    </row>
    <row r="10" customFormat="false" ht="15" hidden="false" customHeight="false" outlineLevel="0" collapsed="false">
      <c r="A10" s="6" t="s">
        <v>141</v>
      </c>
      <c r="B10" s="11" t="n">
        <f aca="false">B8*3600/(B5*B9)</f>
        <v>0.05</v>
      </c>
      <c r="C10" s="6" t="s">
        <v>74</v>
      </c>
      <c r="D10" s="8" t="s">
        <v>142</v>
      </c>
    </row>
    <row r="11" customFormat="false" ht="15" hidden="false" customHeight="false" outlineLevel="0" collapsed="false">
      <c r="A11" s="6" t="s">
        <v>143</v>
      </c>
      <c r="B11" s="21" t="n">
        <f aca="false">B5*B7</f>
        <v>180</v>
      </c>
      <c r="C11" s="6" t="s">
        <v>128</v>
      </c>
      <c r="D11" s="8" t="s">
        <v>144</v>
      </c>
    </row>
    <row r="12" customFormat="false" ht="15" hidden="false" customHeight="false" outlineLevel="0" collapsed="false">
      <c r="A12" s="4" t="s">
        <v>145</v>
      </c>
      <c r="B12" s="5"/>
      <c r="C12" s="5"/>
      <c r="D12" s="5"/>
    </row>
    <row r="13" customFormat="false" ht="15" hidden="false" customHeight="false" outlineLevel="0" collapsed="false">
      <c r="A13" s="6" t="s">
        <v>146</v>
      </c>
      <c r="B13" s="16" t="n">
        <v>3.333</v>
      </c>
      <c r="C13" s="6" t="s">
        <v>137</v>
      </c>
      <c r="D13" s="8" t="s">
        <v>147</v>
      </c>
    </row>
    <row r="14" customFormat="false" ht="15" hidden="false" customHeight="false" outlineLevel="0" collapsed="false">
      <c r="A14" s="6" t="s">
        <v>148</v>
      </c>
      <c r="B14" s="16" t="n">
        <v>3</v>
      </c>
      <c r="C14" s="6" t="s">
        <v>137</v>
      </c>
      <c r="D14" s="8" t="s">
        <v>149</v>
      </c>
    </row>
    <row r="15" customFormat="false" ht="15" hidden="false" customHeight="false" outlineLevel="0" collapsed="false">
      <c r="A15" s="6" t="s">
        <v>150</v>
      </c>
      <c r="B15" s="11" t="n">
        <f aca="false">(B14-B13)/B13*100</f>
        <v>-9.99099909991</v>
      </c>
      <c r="C15" s="6" t="s">
        <v>131</v>
      </c>
      <c r="D15" s="8" t="s">
        <v>151</v>
      </c>
    </row>
    <row r="16" customFormat="false" ht="15" hidden="false" customHeight="false" outlineLevel="0" collapsed="false">
      <c r="A16" s="6" t="s">
        <v>152</v>
      </c>
      <c r="B16" s="11" t="n">
        <f aca="false">(B13-B14)/B13*100</f>
        <v>9.99099909991</v>
      </c>
      <c r="C16" s="6" t="s">
        <v>131</v>
      </c>
      <c r="D16" s="8" t="s">
        <v>153</v>
      </c>
    </row>
    <row r="17" customFormat="false" ht="15" hidden="false" customHeight="false" outlineLevel="0" collapsed="false">
      <c r="A17" s="6" t="s">
        <v>154</v>
      </c>
      <c r="B17" s="6" t="str">
        <f aca="false">IF(B16&gt;B6,"YES","no")</f>
        <v>YES</v>
      </c>
      <c r="C17" s="6"/>
      <c r="D17" s="8"/>
    </row>
    <row r="18" customFormat="false" ht="15" hidden="false" customHeight="false" outlineLevel="0" collapsed="false">
      <c r="A18" s="6" t="s">
        <v>155</v>
      </c>
      <c r="B18" s="6" t="str">
        <f aca="false">IF(B16&gt;B6,"ALERT","NORMAL")</f>
        <v>ALERT</v>
      </c>
      <c r="C18" s="6"/>
      <c r="D1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3" customFormat="false" ht="15" hidden="false" customHeight="false" outlineLevel="0" collapsed="false">
      <c r="A3" s="2" t="s">
        <v>158</v>
      </c>
    </row>
    <row r="4" customFormat="false" ht="15" hidden="false" customHeight="false" outlineLevel="0" collapsed="false">
      <c r="A4" s="3" t="s">
        <v>159</v>
      </c>
      <c r="B4" s="3" t="s">
        <v>160</v>
      </c>
      <c r="C4" s="3" t="s">
        <v>3</v>
      </c>
      <c r="D4" s="3" t="s">
        <v>161</v>
      </c>
    </row>
    <row r="5" customFormat="false" ht="15" hidden="false" customHeight="false" outlineLevel="0" collapsed="false">
      <c r="A5" s="22" t="n">
        <v>-0.07</v>
      </c>
      <c r="B5" s="23" t="s">
        <v>162</v>
      </c>
      <c r="C5" s="24" t="n">
        <f aca="false">COUNT(A5:A500)</f>
        <v>8</v>
      </c>
      <c r="D5" s="23" t="s">
        <v>163</v>
      </c>
    </row>
    <row r="6" customFormat="false" ht="15" hidden="false" customHeight="false" outlineLevel="0" collapsed="false">
      <c r="A6" s="22" t="n">
        <v>0.07</v>
      </c>
      <c r="B6" s="23" t="s">
        <v>164</v>
      </c>
      <c r="C6" s="25" t="n">
        <f aca="false">AVERAGE(A5:A500)</f>
        <v>0.0225</v>
      </c>
      <c r="D6" s="23" t="s">
        <v>165</v>
      </c>
    </row>
    <row r="7" customFormat="false" ht="15" hidden="false" customHeight="false" outlineLevel="0" collapsed="false">
      <c r="A7" s="22" t="n">
        <v>0.1</v>
      </c>
      <c r="B7" s="23" t="s">
        <v>166</v>
      </c>
      <c r="C7" s="25" t="n">
        <f aca="false">STDEV(A5:A500)</f>
        <v>0.075922893215984</v>
      </c>
      <c r="D7" s="23" t="s">
        <v>167</v>
      </c>
    </row>
    <row r="8" customFormat="false" ht="15" hidden="false" customHeight="false" outlineLevel="0" collapsed="false">
      <c r="A8" s="22" t="n">
        <v>-0.08</v>
      </c>
      <c r="B8" s="23" t="s">
        <v>168</v>
      </c>
      <c r="C8" s="26" t="n">
        <v>3</v>
      </c>
      <c r="D8" s="23" t="s">
        <v>169</v>
      </c>
    </row>
    <row r="9" customFormat="false" ht="15" hidden="false" customHeight="false" outlineLevel="0" collapsed="false">
      <c r="A9" s="22" t="n">
        <v>0.05</v>
      </c>
      <c r="B9" s="23" t="s">
        <v>170</v>
      </c>
      <c r="C9" s="27" t="n">
        <f aca="false">ABS(C6)+C8*C7</f>
        <v>0.250268679647952</v>
      </c>
      <c r="D9" s="23" t="s">
        <v>171</v>
      </c>
    </row>
    <row r="10" customFormat="false" ht="15" hidden="false" customHeight="false" outlineLevel="0" collapsed="false">
      <c r="A10" s="22" t="n">
        <v>0.12</v>
      </c>
      <c r="B10" s="23" t="s">
        <v>172</v>
      </c>
      <c r="C10" s="25" t="n">
        <f aca="false">MAX(A5:A500)</f>
        <v>0.12</v>
      </c>
      <c r="D10" s="23" t="s">
        <v>173</v>
      </c>
    </row>
    <row r="11" customFormat="false" ht="15" hidden="false" customHeight="false" outlineLevel="0" collapsed="false">
      <c r="A11" s="22" t="n">
        <v>-0.03</v>
      </c>
    </row>
    <row r="12" customFormat="false" ht="15" hidden="false" customHeight="false" outlineLevel="0" collapsed="false">
      <c r="A12" s="22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50"/>
  </cols>
  <sheetData>
    <row r="1" customFormat="false" ht="16.15" hidden="false" customHeight="false" outlineLevel="0" collapsed="false">
      <c r="A1" s="1" t="s">
        <v>174</v>
      </c>
    </row>
    <row r="3" customFormat="false" ht="15" hidden="false" customHeight="false" outlineLevel="0" collapsed="false">
      <c r="A3" s="3" t="s">
        <v>175</v>
      </c>
      <c r="B3" s="3" t="s">
        <v>176</v>
      </c>
      <c r="C3" s="3" t="s">
        <v>3</v>
      </c>
      <c r="D3" s="3" t="s">
        <v>177</v>
      </c>
      <c r="E3" s="3" t="s">
        <v>178</v>
      </c>
      <c r="F3" s="3" t="s">
        <v>125</v>
      </c>
    </row>
    <row r="4" customFormat="false" ht="15" hidden="false" customHeight="false" outlineLevel="0" collapsed="false">
      <c r="A4" s="6" t="s">
        <v>179</v>
      </c>
      <c r="B4" s="6" t="s">
        <v>180</v>
      </c>
      <c r="C4" s="6" t="s">
        <v>181</v>
      </c>
      <c r="D4" s="8" t="s">
        <v>182</v>
      </c>
      <c r="E4" s="6" t="n">
        <v>1</v>
      </c>
      <c r="F4" s="8" t="s">
        <v>183</v>
      </c>
    </row>
    <row r="5" customFormat="false" ht="15" hidden="false" customHeight="false" outlineLevel="0" collapsed="false">
      <c r="A5" s="6" t="s">
        <v>184</v>
      </c>
      <c r="B5" s="6" t="s">
        <v>185</v>
      </c>
      <c r="C5" s="6" t="s">
        <v>186</v>
      </c>
      <c r="D5" s="8" t="s">
        <v>187</v>
      </c>
      <c r="E5" s="6" t="n">
        <v>1</v>
      </c>
      <c r="F5" s="8" t="s">
        <v>188</v>
      </c>
    </row>
    <row r="6" customFormat="false" ht="15" hidden="false" customHeight="false" outlineLevel="0" collapsed="false">
      <c r="A6" s="6" t="s">
        <v>189</v>
      </c>
      <c r="B6" s="6" t="s">
        <v>190</v>
      </c>
      <c r="C6" s="6" t="s">
        <v>191</v>
      </c>
      <c r="D6" s="8" t="s">
        <v>192</v>
      </c>
      <c r="E6" s="6" t="n">
        <v>1</v>
      </c>
      <c r="F6" s="8" t="s">
        <v>193</v>
      </c>
    </row>
    <row r="7" customFormat="false" ht="15" hidden="false" customHeight="false" outlineLevel="0" collapsed="false">
      <c r="A7" s="6" t="s">
        <v>194</v>
      </c>
      <c r="B7" s="6" t="s">
        <v>190</v>
      </c>
      <c r="C7" s="6" t="s">
        <v>191</v>
      </c>
      <c r="D7" s="8" t="s">
        <v>192</v>
      </c>
      <c r="E7" s="6" t="n">
        <v>1</v>
      </c>
      <c r="F7" s="8" t="s">
        <v>195</v>
      </c>
    </row>
    <row r="8" customFormat="false" ht="15" hidden="false" customHeight="false" outlineLevel="0" collapsed="false">
      <c r="A8" s="6" t="s">
        <v>196</v>
      </c>
      <c r="B8" s="6" t="s">
        <v>197</v>
      </c>
      <c r="C8" s="6" t="s">
        <v>198</v>
      </c>
      <c r="D8" s="8" t="s">
        <v>199</v>
      </c>
      <c r="E8" s="6" t="n">
        <v>3</v>
      </c>
      <c r="F8" s="8" t="s">
        <v>200</v>
      </c>
    </row>
    <row r="9" customFormat="false" ht="15" hidden="false" customHeight="false" outlineLevel="0" collapsed="false">
      <c r="A9" s="6" t="s">
        <v>201</v>
      </c>
      <c r="B9" s="6" t="s">
        <v>202</v>
      </c>
      <c r="C9" s="6" t="s">
        <v>203</v>
      </c>
      <c r="D9" s="8" t="s">
        <v>204</v>
      </c>
      <c r="E9" s="6" t="n">
        <v>3</v>
      </c>
      <c r="F9" s="8" t="s">
        <v>205</v>
      </c>
    </row>
    <row r="10" customFormat="false" ht="15" hidden="false" customHeight="false" outlineLevel="0" collapsed="false">
      <c r="A10" s="6" t="s">
        <v>206</v>
      </c>
      <c r="B10" s="6" t="s">
        <v>207</v>
      </c>
      <c r="C10" s="6" t="s">
        <v>208</v>
      </c>
      <c r="D10" s="8" t="s">
        <v>209</v>
      </c>
      <c r="E10" s="6" t="n">
        <v>1</v>
      </c>
      <c r="F10" s="8" t="s">
        <v>210</v>
      </c>
    </row>
    <row r="11" customFormat="false" ht="15" hidden="false" customHeight="false" outlineLevel="0" collapsed="false">
      <c r="A11" s="6" t="s">
        <v>211</v>
      </c>
      <c r="B11" s="6" t="s">
        <v>207</v>
      </c>
      <c r="C11" s="6" t="s">
        <v>208</v>
      </c>
      <c r="D11" s="8" t="s">
        <v>209</v>
      </c>
      <c r="E11" s="6" t="n">
        <v>1</v>
      </c>
      <c r="F11" s="8" t="s">
        <v>212</v>
      </c>
    </row>
    <row r="12" customFormat="false" ht="15" hidden="false" customHeight="false" outlineLevel="0" collapsed="false">
      <c r="A12" s="6" t="s">
        <v>213</v>
      </c>
      <c r="B12" s="6" t="s">
        <v>214</v>
      </c>
      <c r="C12" s="6" t="s">
        <v>215</v>
      </c>
      <c r="D12" s="8" t="s">
        <v>216</v>
      </c>
      <c r="E12" s="6" t="n">
        <v>1</v>
      </c>
      <c r="F12" s="8"/>
    </row>
    <row r="13" customFormat="false" ht="15" hidden="false" customHeight="false" outlineLevel="0" collapsed="false">
      <c r="A13" s="6" t="s">
        <v>217</v>
      </c>
      <c r="B13" s="6" t="s">
        <v>214</v>
      </c>
      <c r="C13" s="6" t="s">
        <v>218</v>
      </c>
      <c r="D13" s="8" t="s">
        <v>216</v>
      </c>
      <c r="E13" s="6" t="n">
        <v>1</v>
      </c>
      <c r="F13" s="8"/>
    </row>
    <row r="14" customFormat="false" ht="15" hidden="false" customHeight="false" outlineLevel="0" collapsed="false">
      <c r="A14" s="6" t="s">
        <v>219</v>
      </c>
      <c r="B14" s="6" t="s">
        <v>214</v>
      </c>
      <c r="C14" s="6" t="s">
        <v>218</v>
      </c>
      <c r="D14" s="8" t="s">
        <v>216</v>
      </c>
      <c r="E14" s="6" t="n">
        <v>1</v>
      </c>
      <c r="F14" s="8"/>
    </row>
    <row r="15" customFormat="false" ht="15" hidden="false" customHeight="false" outlineLevel="0" collapsed="false">
      <c r="A15" s="6" t="s">
        <v>220</v>
      </c>
      <c r="B15" s="6" t="s">
        <v>214</v>
      </c>
      <c r="C15" s="6" t="s">
        <v>218</v>
      </c>
      <c r="D15" s="8" t="s">
        <v>216</v>
      </c>
      <c r="E15" s="6" t="n">
        <v>1</v>
      </c>
      <c r="F15" s="8"/>
    </row>
    <row r="16" customFormat="false" ht="15" hidden="false" customHeight="false" outlineLevel="0" collapsed="false">
      <c r="A16" s="6" t="s">
        <v>221</v>
      </c>
      <c r="B16" s="6" t="s">
        <v>222</v>
      </c>
      <c r="C16" s="6" t="s">
        <v>223</v>
      </c>
      <c r="D16" s="8" t="s">
        <v>224</v>
      </c>
      <c r="E16" s="6" t="n">
        <v>1</v>
      </c>
      <c r="F16" s="8" t="s">
        <v>225</v>
      </c>
    </row>
    <row r="17" customFormat="false" ht="15" hidden="false" customHeight="false" outlineLevel="0" collapsed="false">
      <c r="A17" s="6" t="s">
        <v>226</v>
      </c>
      <c r="B17" s="6" t="s">
        <v>222</v>
      </c>
      <c r="C17" s="6" t="s">
        <v>227</v>
      </c>
      <c r="D17" s="8" t="s">
        <v>228</v>
      </c>
      <c r="E17" s="6" t="n">
        <v>1</v>
      </c>
      <c r="F17" s="8" t="s">
        <v>229</v>
      </c>
    </row>
    <row r="18" customFormat="false" ht="15" hidden="false" customHeight="false" outlineLevel="0" collapsed="false">
      <c r="A18" s="6" t="s">
        <v>230</v>
      </c>
      <c r="B18" s="6" t="s">
        <v>214</v>
      </c>
      <c r="C18" s="6" t="s">
        <v>231</v>
      </c>
      <c r="D18" s="8" t="s">
        <v>216</v>
      </c>
      <c r="E18" s="6" t="n">
        <v>1</v>
      </c>
      <c r="F18" s="8" t="s">
        <v>232</v>
      </c>
    </row>
    <row r="19" customFormat="false" ht="15" hidden="false" customHeight="false" outlineLevel="0" collapsed="false">
      <c r="A19" s="6" t="s">
        <v>233</v>
      </c>
      <c r="B19" s="6" t="s">
        <v>214</v>
      </c>
      <c r="C19" s="6" t="s">
        <v>234</v>
      </c>
      <c r="D19" s="8" t="s">
        <v>216</v>
      </c>
      <c r="E19" s="6" t="n">
        <v>1</v>
      </c>
      <c r="F19" s="8" t="s">
        <v>235</v>
      </c>
    </row>
    <row r="20" customFormat="false" ht="15" hidden="false" customHeight="false" outlineLevel="0" collapsed="false">
      <c r="A20" s="6" t="s">
        <v>236</v>
      </c>
      <c r="B20" s="6" t="s">
        <v>214</v>
      </c>
      <c r="C20" s="6" t="s">
        <v>237</v>
      </c>
      <c r="D20" s="8" t="s">
        <v>216</v>
      </c>
      <c r="E20" s="6" t="n">
        <v>1</v>
      </c>
      <c r="F20" s="8" t="s">
        <v>238</v>
      </c>
    </row>
    <row r="21" customFormat="false" ht="15" hidden="false" customHeight="false" outlineLevel="0" collapsed="false">
      <c r="A21" s="6" t="s">
        <v>239</v>
      </c>
      <c r="B21" s="6" t="s">
        <v>240</v>
      </c>
      <c r="C21" s="6" t="s">
        <v>241</v>
      </c>
      <c r="D21" s="8" t="s">
        <v>241</v>
      </c>
      <c r="E21" s="6" t="n">
        <v>1</v>
      </c>
      <c r="F21" s="8"/>
    </row>
    <row r="22" customFormat="false" ht="15" hidden="false" customHeight="false" outlineLevel="0" collapsed="false">
      <c r="A22" s="6" t="s">
        <v>242</v>
      </c>
      <c r="B22" s="6" t="s">
        <v>243</v>
      </c>
      <c r="C22" s="6" t="s">
        <v>244</v>
      </c>
      <c r="D22" s="8" t="s">
        <v>244</v>
      </c>
      <c r="E22" s="6" t="n">
        <v>1</v>
      </c>
      <c r="F22" s="8" t="s">
        <v>245</v>
      </c>
    </row>
    <row r="23" customFormat="false" ht="15" hidden="false" customHeight="false" outlineLevel="0" collapsed="false">
      <c r="A23" s="6" t="s">
        <v>246</v>
      </c>
      <c r="B23" s="6" t="s">
        <v>247</v>
      </c>
      <c r="C23" s="6" t="s">
        <v>248</v>
      </c>
      <c r="D23" s="8" t="s">
        <v>249</v>
      </c>
      <c r="E23" s="6" t="n">
        <v>1</v>
      </c>
      <c r="F23" s="8" t="s">
        <v>250</v>
      </c>
    </row>
    <row r="24" customFormat="false" ht="15" hidden="false" customHeight="false" outlineLevel="0" collapsed="false">
      <c r="A24" s="6" t="s">
        <v>251</v>
      </c>
      <c r="B24" s="6" t="s">
        <v>247</v>
      </c>
      <c r="C24" s="6" t="s">
        <v>252</v>
      </c>
      <c r="D24" s="8" t="s">
        <v>249</v>
      </c>
      <c r="E24" s="6" t="n">
        <v>2</v>
      </c>
      <c r="F24" s="8" t="s">
        <v>253</v>
      </c>
    </row>
    <row r="25" customFormat="false" ht="15" hidden="false" customHeight="false" outlineLevel="0" collapsed="false">
      <c r="A25" s="6" t="s">
        <v>105</v>
      </c>
      <c r="B25" s="6" t="s">
        <v>214</v>
      </c>
      <c r="C25" s="6" t="s">
        <v>254</v>
      </c>
      <c r="D25" s="8" t="s">
        <v>216</v>
      </c>
      <c r="E25" s="6" t="n">
        <v>1</v>
      </c>
      <c r="F25" s="8" t="s">
        <v>255</v>
      </c>
    </row>
    <row r="26" customFormat="false" ht="15" hidden="false" customHeight="false" outlineLevel="0" collapsed="false">
      <c r="A26" s="6" t="s">
        <v>106</v>
      </c>
      <c r="B26" s="6" t="s">
        <v>214</v>
      </c>
      <c r="C26" s="6" t="s">
        <v>256</v>
      </c>
      <c r="D26" s="8" t="s">
        <v>216</v>
      </c>
      <c r="E26" s="6" t="n">
        <v>1</v>
      </c>
      <c r="F26" s="8" t="s">
        <v>255</v>
      </c>
    </row>
    <row r="27" customFormat="false" ht="23.85" hidden="false" customHeight="false" outlineLevel="0" collapsed="false">
      <c r="A27" s="6" t="s">
        <v>257</v>
      </c>
      <c r="B27" s="6" t="s">
        <v>258</v>
      </c>
      <c r="C27" s="6"/>
      <c r="D27" s="8" t="s">
        <v>259</v>
      </c>
      <c r="E27" s="6" t="n">
        <v>1</v>
      </c>
      <c r="F27" s="8" t="s">
        <v>260</v>
      </c>
    </row>
    <row r="28" customFormat="false" ht="15" hidden="false" customHeight="false" outlineLevel="0" collapsed="false">
      <c r="A28" s="6" t="s">
        <v>261</v>
      </c>
      <c r="B28" s="6" t="s">
        <v>262</v>
      </c>
      <c r="C28" s="6" t="s">
        <v>263</v>
      </c>
      <c r="D28" s="8" t="s">
        <v>264</v>
      </c>
      <c r="E28" s="6" t="n">
        <v>1</v>
      </c>
      <c r="F28" s="8"/>
    </row>
    <row r="29" customFormat="false" ht="15" hidden="false" customHeight="false" outlineLevel="0" collapsed="false">
      <c r="A29" s="6" t="s">
        <v>265</v>
      </c>
      <c r="B29" s="6" t="s">
        <v>266</v>
      </c>
      <c r="C29" s="6" t="s">
        <v>218</v>
      </c>
      <c r="D29" s="8" t="s">
        <v>267</v>
      </c>
      <c r="E29" s="6" t="n">
        <v>1</v>
      </c>
      <c r="F29" s="8" t="s">
        <v>268</v>
      </c>
    </row>
    <row r="30" customFormat="false" ht="15" hidden="false" customHeight="false" outlineLevel="0" collapsed="false">
      <c r="A30" s="6" t="s">
        <v>269</v>
      </c>
      <c r="B30" s="6" t="s">
        <v>270</v>
      </c>
      <c r="C30" s="6" t="s">
        <v>271</v>
      </c>
      <c r="D30" s="8" t="s">
        <v>272</v>
      </c>
      <c r="E30" s="6" t="n">
        <v>1</v>
      </c>
      <c r="F30" s="8"/>
    </row>
    <row r="31" customFormat="false" ht="15" hidden="false" customHeight="false" outlineLevel="0" collapsed="false">
      <c r="A31" s="6" t="s">
        <v>273</v>
      </c>
      <c r="B31" s="6" t="s">
        <v>274</v>
      </c>
      <c r="C31" s="6" t="s">
        <v>275</v>
      </c>
      <c r="D31" s="8" t="s">
        <v>276</v>
      </c>
      <c r="E31" s="6" t="n">
        <v>1</v>
      </c>
      <c r="F31" s="8" t="s">
        <v>277</v>
      </c>
    </row>
    <row r="32" customFormat="false" ht="23.85" hidden="false" customHeight="false" outlineLevel="0" collapsed="false">
      <c r="A32" s="6" t="s">
        <v>278</v>
      </c>
      <c r="B32" s="6" t="s">
        <v>258</v>
      </c>
      <c r="C32" s="6"/>
      <c r="D32" s="8" t="s">
        <v>279</v>
      </c>
      <c r="E32" s="6" t="n">
        <v>1</v>
      </c>
      <c r="F32" s="8" t="s">
        <v>280</v>
      </c>
    </row>
    <row r="33" customFormat="false" ht="15" hidden="false" customHeight="false" outlineLevel="0" collapsed="false">
      <c r="A33" s="6" t="s">
        <v>281</v>
      </c>
      <c r="B33" s="6" t="s">
        <v>262</v>
      </c>
      <c r="C33" s="6" t="s">
        <v>263</v>
      </c>
      <c r="D33" s="8" t="s">
        <v>264</v>
      </c>
      <c r="E33" s="6" t="n">
        <v>1</v>
      </c>
      <c r="F33" s="8"/>
    </row>
    <row r="34" customFormat="false" ht="15" hidden="false" customHeight="false" outlineLevel="0" collapsed="false">
      <c r="A34" s="6" t="s">
        <v>282</v>
      </c>
      <c r="B34" s="6" t="s">
        <v>266</v>
      </c>
      <c r="C34" s="6" t="s">
        <v>218</v>
      </c>
      <c r="D34" s="8" t="s">
        <v>267</v>
      </c>
      <c r="E34" s="6" t="n">
        <v>1</v>
      </c>
      <c r="F34" s="8"/>
    </row>
    <row r="35" customFormat="false" ht="15" hidden="false" customHeight="false" outlineLevel="0" collapsed="false">
      <c r="A35" s="6" t="s">
        <v>283</v>
      </c>
      <c r="B35" s="6" t="s">
        <v>214</v>
      </c>
      <c r="C35" s="6" t="s">
        <v>215</v>
      </c>
      <c r="D35" s="8" t="s">
        <v>216</v>
      </c>
      <c r="E35" s="6" t="n">
        <v>1</v>
      </c>
      <c r="F35" s="8" t="s">
        <v>284</v>
      </c>
    </row>
    <row r="36" customFormat="false" ht="15" hidden="false" customHeight="false" outlineLevel="0" collapsed="false">
      <c r="A36" s="6" t="s">
        <v>285</v>
      </c>
      <c r="B36" s="6" t="s">
        <v>214</v>
      </c>
      <c r="C36" s="6" t="s">
        <v>218</v>
      </c>
      <c r="D36" s="8" t="s">
        <v>216</v>
      </c>
      <c r="E36" s="6" t="n">
        <v>3</v>
      </c>
      <c r="F36" s="8" t="s">
        <v>286</v>
      </c>
    </row>
    <row r="37" customFormat="false" ht="15" hidden="false" customHeight="false" outlineLevel="0" collapsed="false">
      <c r="A37" s="6" t="s">
        <v>287</v>
      </c>
      <c r="B37" s="6" t="s">
        <v>222</v>
      </c>
      <c r="C37" s="6" t="s">
        <v>223</v>
      </c>
      <c r="D37" s="8" t="s">
        <v>224</v>
      </c>
      <c r="E37" s="6" t="n">
        <v>1</v>
      </c>
      <c r="F37" s="8"/>
    </row>
    <row r="38" customFormat="false" ht="15" hidden="false" customHeight="false" outlineLevel="0" collapsed="false">
      <c r="A38" s="6" t="s">
        <v>288</v>
      </c>
      <c r="B38" s="6" t="s">
        <v>222</v>
      </c>
      <c r="C38" s="6" t="s">
        <v>227</v>
      </c>
      <c r="D38" s="8" t="s">
        <v>228</v>
      </c>
      <c r="E38" s="6" t="n">
        <v>1</v>
      </c>
      <c r="F38" s="8" t="s">
        <v>289</v>
      </c>
    </row>
    <row r="39" customFormat="false" ht="15" hidden="false" customHeight="false" outlineLevel="0" collapsed="false">
      <c r="A39" s="6" t="s">
        <v>290</v>
      </c>
      <c r="B39" s="6" t="s">
        <v>214</v>
      </c>
      <c r="C39" s="6" t="s">
        <v>291</v>
      </c>
      <c r="D39" s="8" t="s">
        <v>216</v>
      </c>
      <c r="E39" s="6" t="n">
        <v>3</v>
      </c>
      <c r="F39" s="8" t="s">
        <v>292</v>
      </c>
    </row>
    <row r="40" customFormat="false" ht="15" hidden="false" customHeight="false" outlineLevel="0" collapsed="false">
      <c r="A40" s="6" t="s">
        <v>293</v>
      </c>
      <c r="B40" s="6" t="s">
        <v>294</v>
      </c>
      <c r="C40" s="6" t="s">
        <v>295</v>
      </c>
      <c r="D40" s="8" t="s">
        <v>296</v>
      </c>
      <c r="E40" s="6" t="n">
        <v>3</v>
      </c>
      <c r="F40" s="8" t="s">
        <v>297</v>
      </c>
    </row>
    <row r="41" customFormat="false" ht="15" hidden="false" customHeight="false" outlineLevel="0" collapsed="false">
      <c r="A41" s="6" t="s">
        <v>298</v>
      </c>
      <c r="B41" s="6" t="s">
        <v>274</v>
      </c>
      <c r="C41" s="6" t="s">
        <v>275</v>
      </c>
      <c r="D41" s="8" t="s">
        <v>276</v>
      </c>
      <c r="E41" s="6" t="n">
        <v>1</v>
      </c>
      <c r="F41" s="8" t="s">
        <v>299</v>
      </c>
    </row>
    <row r="42" customFormat="false" ht="15" hidden="false" customHeight="false" outlineLevel="0" collapsed="false">
      <c r="A42" s="6" t="s">
        <v>300</v>
      </c>
      <c r="B42" s="6" t="s">
        <v>301</v>
      </c>
      <c r="C42" s="6"/>
      <c r="D42" s="8" t="s">
        <v>302</v>
      </c>
      <c r="E42" s="6" t="n">
        <v>1</v>
      </c>
      <c r="F42" s="8" t="s">
        <v>303</v>
      </c>
    </row>
    <row r="43" customFormat="false" ht="15" hidden="false" customHeight="false" outlineLevel="0" collapsed="false">
      <c r="A43" s="6" t="s">
        <v>304</v>
      </c>
      <c r="B43" s="6" t="s">
        <v>305</v>
      </c>
      <c r="C43" s="6"/>
      <c r="D43" s="8" t="s">
        <v>306</v>
      </c>
      <c r="E43" s="6" t="n">
        <v>1</v>
      </c>
      <c r="F43" s="8" t="s">
        <v>303</v>
      </c>
    </row>
    <row r="44" customFormat="false" ht="15" hidden="false" customHeight="false" outlineLevel="0" collapsed="false">
      <c r="A44" s="6" t="s">
        <v>307</v>
      </c>
      <c r="B44" s="6" t="s">
        <v>308</v>
      </c>
      <c r="C44" s="6"/>
      <c r="D44" s="8" t="s">
        <v>309</v>
      </c>
      <c r="E44" s="6" t="n">
        <v>2</v>
      </c>
      <c r="F44" s="8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311</v>
      </c>
    </row>
    <row r="3" customFormat="false" ht="15" hidden="false" customHeight="false" outlineLevel="0" collapsed="false">
      <c r="A3" s="3" t="s">
        <v>312</v>
      </c>
      <c r="B3" s="3" t="s">
        <v>313</v>
      </c>
      <c r="C3" s="3" t="s">
        <v>314</v>
      </c>
      <c r="D3" s="3" t="s">
        <v>315</v>
      </c>
    </row>
    <row r="4" customFormat="false" ht="15" hidden="false" customHeight="false" outlineLevel="0" collapsed="false">
      <c r="A4" s="6" t="s">
        <v>316</v>
      </c>
      <c r="B4" s="6" t="s">
        <v>317</v>
      </c>
      <c r="C4" s="6" t="s">
        <v>318</v>
      </c>
      <c r="D4" s="6" t="s">
        <v>319</v>
      </c>
    </row>
    <row r="5" customFormat="false" ht="15" hidden="false" customHeight="false" outlineLevel="0" collapsed="false">
      <c r="A5" s="6" t="s">
        <v>316</v>
      </c>
      <c r="B5" s="6" t="s">
        <v>320</v>
      </c>
      <c r="C5" s="6" t="s">
        <v>321</v>
      </c>
      <c r="D5" s="6" t="s">
        <v>322</v>
      </c>
    </row>
    <row r="6" customFormat="false" ht="15" hidden="false" customHeight="false" outlineLevel="0" collapsed="false">
      <c r="A6" s="6" t="s">
        <v>316</v>
      </c>
      <c r="B6" s="6" t="s">
        <v>323</v>
      </c>
      <c r="C6" s="6" t="s">
        <v>324</v>
      </c>
      <c r="D6" s="6" t="s">
        <v>325</v>
      </c>
    </row>
    <row r="7" customFormat="false" ht="15" hidden="false" customHeight="false" outlineLevel="0" collapsed="false">
      <c r="A7" s="6" t="s">
        <v>316</v>
      </c>
      <c r="B7" s="6" t="s">
        <v>326</v>
      </c>
      <c r="C7" s="6" t="s">
        <v>327</v>
      </c>
      <c r="D7" s="6" t="s">
        <v>328</v>
      </c>
    </row>
    <row r="8" customFormat="false" ht="15" hidden="false" customHeight="false" outlineLevel="0" collapsed="false">
      <c r="A8" s="6" t="s">
        <v>316</v>
      </c>
      <c r="B8" s="6" t="s">
        <v>329</v>
      </c>
      <c r="C8" s="6" t="s">
        <v>330</v>
      </c>
      <c r="D8" s="6" t="s">
        <v>273</v>
      </c>
    </row>
    <row r="9" customFormat="false" ht="15" hidden="false" customHeight="false" outlineLevel="0" collapsed="false">
      <c r="A9" s="6" t="s">
        <v>316</v>
      </c>
      <c r="B9" s="6" t="s">
        <v>331</v>
      </c>
      <c r="C9" s="6" t="s">
        <v>332</v>
      </c>
      <c r="D9" s="6" t="s">
        <v>333</v>
      </c>
    </row>
    <row r="10" customFormat="false" ht="15" hidden="false" customHeight="false" outlineLevel="0" collapsed="false">
      <c r="A10" s="6" t="s">
        <v>316</v>
      </c>
      <c r="B10" s="6" t="s">
        <v>334</v>
      </c>
      <c r="C10" s="6" t="s">
        <v>335</v>
      </c>
      <c r="D10" s="6" t="s">
        <v>336</v>
      </c>
    </row>
    <row r="11" customFormat="false" ht="15" hidden="false" customHeight="false" outlineLevel="0" collapsed="false">
      <c r="A11" s="6" t="s">
        <v>316</v>
      </c>
      <c r="B11" s="6" t="s">
        <v>337</v>
      </c>
      <c r="C11" s="6" t="s">
        <v>338</v>
      </c>
      <c r="D11" s="6" t="s">
        <v>339</v>
      </c>
    </row>
    <row r="12" customFormat="false" ht="15" hidden="false" customHeight="false" outlineLevel="0" collapsed="false">
      <c r="A12" s="6" t="s">
        <v>340</v>
      </c>
      <c r="B12" s="6" t="s">
        <v>317</v>
      </c>
      <c r="C12" s="6" t="s">
        <v>341</v>
      </c>
      <c r="D12" s="6" t="s">
        <v>284</v>
      </c>
    </row>
    <row r="13" customFormat="false" ht="15" hidden="false" customHeight="false" outlineLevel="0" collapsed="false">
      <c r="A13" s="6" t="s">
        <v>340</v>
      </c>
      <c r="B13" s="6" t="s">
        <v>320</v>
      </c>
      <c r="C13" s="6" t="s">
        <v>342</v>
      </c>
      <c r="D13" s="6" t="s">
        <v>343</v>
      </c>
    </row>
    <row r="14" customFormat="false" ht="15" hidden="false" customHeight="false" outlineLevel="0" collapsed="false">
      <c r="A14" s="6" t="s">
        <v>340</v>
      </c>
      <c r="B14" s="6" t="s">
        <v>344</v>
      </c>
      <c r="C14" s="6" t="s">
        <v>345</v>
      </c>
      <c r="D14" s="6" t="s">
        <v>346</v>
      </c>
    </row>
    <row r="15" customFormat="false" ht="15" hidden="false" customHeight="false" outlineLevel="0" collapsed="false">
      <c r="A15" s="6" t="s">
        <v>340</v>
      </c>
      <c r="B15" s="6" t="s">
        <v>347</v>
      </c>
      <c r="C15" s="6" t="s">
        <v>348</v>
      </c>
      <c r="D15" s="6" t="s">
        <v>349</v>
      </c>
    </row>
    <row r="16" customFormat="false" ht="15" hidden="false" customHeight="false" outlineLevel="0" collapsed="false">
      <c r="A16" s="6" t="s">
        <v>340</v>
      </c>
      <c r="B16" s="6" t="s">
        <v>331</v>
      </c>
      <c r="C16" s="6" t="s">
        <v>350</v>
      </c>
      <c r="D16" s="6" t="s">
        <v>281</v>
      </c>
    </row>
    <row r="17" customFormat="false" ht="15" hidden="false" customHeight="false" outlineLevel="0" collapsed="false">
      <c r="A17" s="6" t="s">
        <v>340</v>
      </c>
      <c r="B17" s="6" t="s">
        <v>351</v>
      </c>
      <c r="C17" s="6" t="s">
        <v>352</v>
      </c>
      <c r="D17" s="6" t="s">
        <v>353</v>
      </c>
    </row>
    <row r="18" customFormat="false" ht="15" hidden="false" customHeight="false" outlineLevel="0" collapsed="false">
      <c r="A18" s="6" t="s">
        <v>354</v>
      </c>
      <c r="B18" s="6" t="s">
        <v>355</v>
      </c>
      <c r="C18" s="6" t="s">
        <v>356</v>
      </c>
      <c r="D18" s="6" t="s">
        <v>357</v>
      </c>
    </row>
    <row r="19" customFormat="false" ht="15" hidden="false" customHeight="false" outlineLevel="0" collapsed="false">
      <c r="A19" s="6" t="s">
        <v>354</v>
      </c>
      <c r="B19" s="6" t="s">
        <v>358</v>
      </c>
      <c r="C19" s="6" t="s">
        <v>359</v>
      </c>
      <c r="D19" s="6" t="s">
        <v>360</v>
      </c>
    </row>
    <row r="20" customFormat="false" ht="15" hidden="false" customHeight="false" outlineLevel="0" collapsed="false">
      <c r="A20" s="6" t="s">
        <v>354</v>
      </c>
      <c r="B20" s="6" t="s">
        <v>361</v>
      </c>
      <c r="C20" s="6" t="s">
        <v>362</v>
      </c>
      <c r="D20" s="6" t="s">
        <v>363</v>
      </c>
    </row>
    <row r="21" customFormat="false" ht="15" hidden="false" customHeight="false" outlineLevel="0" collapsed="false">
      <c r="A21" s="6" t="s">
        <v>354</v>
      </c>
      <c r="B21" s="6" t="s">
        <v>364</v>
      </c>
      <c r="C21" s="6" t="s">
        <v>365</v>
      </c>
      <c r="D21" s="6" t="s">
        <v>366</v>
      </c>
    </row>
    <row r="22" customFormat="false" ht="15" hidden="false" customHeight="false" outlineLevel="0" collapsed="false">
      <c r="A22" s="6" t="s">
        <v>354</v>
      </c>
      <c r="B22" s="6" t="s">
        <v>367</v>
      </c>
      <c r="C22" s="6" t="s">
        <v>368</v>
      </c>
      <c r="D22" s="6" t="s">
        <v>369</v>
      </c>
    </row>
    <row r="23" customFormat="false" ht="15" hidden="false" customHeight="false" outlineLevel="0" collapsed="false">
      <c r="A23" s="6" t="s">
        <v>354</v>
      </c>
      <c r="B23" s="6" t="s">
        <v>370</v>
      </c>
      <c r="C23" s="6" t="s">
        <v>371</v>
      </c>
      <c r="D23" s="6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8" min="6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6"/>
  </cols>
  <sheetData>
    <row r="1" customFormat="false" ht="16.15" hidden="false" customHeight="false" outlineLevel="0" collapsed="false">
      <c r="A1" s="1" t="s">
        <v>373</v>
      </c>
    </row>
    <row r="3" customFormat="false" ht="23.85" hidden="false" customHeight="false" outlineLevel="0" collapsed="false">
      <c r="A3" s="3" t="s">
        <v>374</v>
      </c>
      <c r="B3" s="3" t="s">
        <v>202</v>
      </c>
      <c r="C3" s="3" t="s">
        <v>375</v>
      </c>
      <c r="D3" s="3" t="s">
        <v>376</v>
      </c>
      <c r="E3" s="3" t="s">
        <v>377</v>
      </c>
      <c r="F3" s="3" t="s">
        <v>378</v>
      </c>
      <c r="G3" s="3" t="s">
        <v>379</v>
      </c>
      <c r="H3" s="3" t="s">
        <v>380</v>
      </c>
      <c r="I3" s="3" t="s">
        <v>381</v>
      </c>
      <c r="J3" s="3" t="s">
        <v>382</v>
      </c>
      <c r="K3" s="3" t="s">
        <v>125</v>
      </c>
    </row>
    <row r="4" customFormat="false" ht="15" hidden="false" customHeight="false" outlineLevel="0" collapsed="false">
      <c r="A4" s="9" t="s">
        <v>383</v>
      </c>
      <c r="B4" s="9" t="n">
        <v>3</v>
      </c>
      <c r="C4" s="9" t="n">
        <v>229.6</v>
      </c>
      <c r="D4" s="9" t="n">
        <v>1.3</v>
      </c>
      <c r="E4" s="9" t="n">
        <v>299.5</v>
      </c>
      <c r="F4" s="9" t="n">
        <v>16.6</v>
      </c>
      <c r="G4" s="9" t="n">
        <v>16.65</v>
      </c>
      <c r="H4" s="11" t="n">
        <f aca="false">(F4-G4)/G4*100</f>
        <v>-0.300300300300283</v>
      </c>
      <c r="I4" s="11" t="n">
        <f aca="false">-H4</f>
        <v>0.300300300300283</v>
      </c>
      <c r="J4" s="9" t="s">
        <v>384</v>
      </c>
      <c r="K4" s="9" t="s">
        <v>385</v>
      </c>
    </row>
    <row r="5" customFormat="false" ht="15" hidden="false" customHeight="false" outlineLevel="0" collapsed="false">
      <c r="A5" s="28"/>
      <c r="B5" s="28"/>
      <c r="C5" s="28"/>
      <c r="D5" s="28"/>
      <c r="E5" s="28"/>
      <c r="F5" s="28"/>
      <c r="G5" s="28"/>
      <c r="H5" s="11" t="str">
        <f aca="false">IF(AND(ISNUMBER(F5),ISNUMBER(G5),G5&gt;0),(F5-G5)/G5*100,"")</f>
        <v/>
      </c>
      <c r="I5" s="11" t="str">
        <f aca="false">IF(H5="","",-H5)</f>
        <v/>
      </c>
      <c r="J5" s="28"/>
      <c r="K5" s="28"/>
    </row>
    <row r="6" customFormat="false" ht="15" hidden="false" customHeight="false" outlineLevel="0" collapsed="false">
      <c r="A6" s="28"/>
      <c r="B6" s="28"/>
      <c r="C6" s="28"/>
      <c r="D6" s="28"/>
      <c r="E6" s="28"/>
      <c r="F6" s="28"/>
      <c r="G6" s="28"/>
      <c r="H6" s="11" t="str">
        <f aca="false">IF(AND(ISNUMBER(F6),ISNUMBER(G6),G6&gt;0),(F6-G6)/G6*100,"")</f>
        <v/>
      </c>
      <c r="I6" s="11" t="str">
        <f aca="false">IF(H6="","",-H6)</f>
        <v/>
      </c>
      <c r="J6" s="28"/>
      <c r="K6" s="28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  <c r="H7" s="11" t="str">
        <f aca="false">IF(AND(ISNUMBER(F7),ISNUMBER(G7),G7&gt;0),(F7-G7)/G7*100,"")</f>
        <v/>
      </c>
      <c r="I7" s="11" t="str">
        <f aca="false">IF(H7="","",-H7)</f>
        <v/>
      </c>
      <c r="J7" s="28"/>
      <c r="K7" s="28"/>
    </row>
    <row r="8" customFormat="false" ht="15" hidden="false" customHeight="false" outlineLevel="0" collapsed="false">
      <c r="A8" s="28"/>
      <c r="B8" s="28"/>
      <c r="C8" s="28"/>
      <c r="D8" s="28"/>
      <c r="E8" s="28"/>
      <c r="F8" s="28"/>
      <c r="G8" s="28"/>
      <c r="H8" s="11" t="str">
        <f aca="false">IF(AND(ISNUMBER(F8),ISNUMBER(G8),G8&gt;0),(F8-G8)/G8*100,"")</f>
        <v/>
      </c>
      <c r="I8" s="11" t="str">
        <f aca="false">IF(H8="","",-H8)</f>
        <v/>
      </c>
      <c r="J8" s="28"/>
      <c r="K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  <c r="H9" s="11" t="str">
        <f aca="false">IF(AND(ISNUMBER(F9),ISNUMBER(G9),G9&gt;0),(F9-G9)/G9*100,"")</f>
        <v/>
      </c>
      <c r="I9" s="11" t="str">
        <f aca="false">IF(H9="","",-H9)</f>
        <v/>
      </c>
      <c r="J9" s="28"/>
      <c r="K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11" t="str">
        <f aca="false">IF(AND(ISNUMBER(F10),ISNUMBER(G10),G10&gt;0),(F10-G10)/G10*100,"")</f>
        <v/>
      </c>
      <c r="I10" s="11" t="str">
        <f aca="false">IF(H10="","",-H10)</f>
        <v/>
      </c>
      <c r="J10" s="28"/>
      <c r="K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11" t="str">
        <f aca="false">IF(AND(ISNUMBER(F11),ISNUMBER(G11),G11&gt;0),(F11-G11)/G11*100,"")</f>
        <v/>
      </c>
      <c r="I11" s="11" t="str">
        <f aca="false">IF(H11="","",-H11)</f>
        <v/>
      </c>
      <c r="J11" s="28"/>
      <c r="K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11" t="str">
        <f aca="false">IF(AND(ISNUMBER(F12),ISNUMBER(G12),G12&gt;0),(F12-G12)/G12*100,"")</f>
        <v/>
      </c>
      <c r="I12" s="11" t="str">
        <f aca="false">IF(H12="","",-H12)</f>
        <v/>
      </c>
      <c r="J12" s="28"/>
      <c r="K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  <c r="H13" s="11" t="str">
        <f aca="false">IF(AND(ISNUMBER(F13),ISNUMBER(G13),G13&gt;0),(F13-G13)/G13*100,"")</f>
        <v/>
      </c>
      <c r="I13" s="11" t="str">
        <f aca="false">IF(H13="","",-H13)</f>
        <v/>
      </c>
      <c r="J13" s="28"/>
      <c r="K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11" t="str">
        <f aca="false">IF(AND(ISNUMBER(F14),ISNUMBER(G14),G14&gt;0),(F14-G14)/G14*100,"")</f>
        <v/>
      </c>
      <c r="I14" s="11" t="str">
        <f aca="false">IF(H14="","",-H14)</f>
        <v/>
      </c>
      <c r="J14" s="28"/>
      <c r="K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  <c r="H15" s="11" t="str">
        <f aca="false">IF(AND(ISNUMBER(F15),ISNUMBER(G15),G15&gt;0),(F15-G15)/G15*100,"")</f>
        <v/>
      </c>
      <c r="I15" s="11" t="str">
        <f aca="false">IF(H15="","",-H15)</f>
        <v/>
      </c>
      <c r="J15" s="28"/>
      <c r="K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11" t="str">
        <f aca="false">IF(AND(ISNUMBER(F16),ISNUMBER(G16),G16&gt;0),(F16-G16)/G16*100,"")</f>
        <v/>
      </c>
      <c r="I16" s="11" t="str">
        <f aca="false">IF(H16="","",-H16)</f>
        <v/>
      </c>
      <c r="J16" s="28"/>
      <c r="K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  <c r="H17" s="11" t="str">
        <f aca="false">IF(AND(ISNUMBER(F17),ISNUMBER(G17),G17&gt;0),(F17-G17)/G17*100,"")</f>
        <v/>
      </c>
      <c r="I17" s="11" t="str">
        <f aca="false">IF(H17="","",-H17)</f>
        <v/>
      </c>
      <c r="J17" s="28"/>
      <c r="K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11" t="str">
        <f aca="false">IF(AND(ISNUMBER(F18),ISNUMBER(G18),G18&gt;0),(F18-G18)/G18*100,"")</f>
        <v/>
      </c>
      <c r="I18" s="11" t="str">
        <f aca="false">IF(H18="","",-H18)</f>
        <v/>
      </c>
      <c r="J18" s="28"/>
      <c r="K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11" t="str">
        <f aca="false">IF(AND(ISNUMBER(F19),ISNUMBER(G19),G19&gt;0),(F19-G19)/G19*100,"")</f>
        <v/>
      </c>
      <c r="I19" s="11" t="str">
        <f aca="false">IF(H19="","",-H19)</f>
        <v/>
      </c>
      <c r="J19" s="28"/>
      <c r="K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11" t="str">
        <f aca="false">IF(AND(ISNUMBER(F20),ISNUMBER(G20),G20&gt;0),(F20-G20)/G20*100,"")</f>
        <v/>
      </c>
      <c r="I20" s="11" t="str">
        <f aca="false">IF(H20="","",-H20)</f>
        <v/>
      </c>
      <c r="J20" s="28"/>
      <c r="K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11" t="str">
        <f aca="false">IF(AND(ISNUMBER(F21),ISNUMBER(G21),G21&gt;0),(F21-G21)/G21*100,"")</f>
        <v/>
      </c>
      <c r="I21" s="11" t="str">
        <f aca="false">IF(H21="","",-H21)</f>
        <v/>
      </c>
      <c r="J21" s="28"/>
      <c r="K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11" t="str">
        <f aca="false">IF(AND(ISNUMBER(F22),ISNUMBER(G22),G22&gt;0),(F22-G22)/G22*100,"")</f>
        <v/>
      </c>
      <c r="I22" s="11" t="str">
        <f aca="false">IF(H22="","",-H22)</f>
        <v/>
      </c>
      <c r="J22" s="28"/>
      <c r="K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11" t="str">
        <f aca="false">IF(AND(ISNUMBER(F23),ISNUMBER(G23),G23&gt;0),(F23-G23)/G23*100,"")</f>
        <v/>
      </c>
      <c r="I23" s="11" t="str">
        <f aca="false">IF(H23="","",-H23)</f>
        <v/>
      </c>
      <c r="J23" s="28"/>
      <c r="K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11" t="str">
        <f aca="false">IF(AND(ISNUMBER(F24),ISNUMBER(G24),G24&gt;0),(F24-G24)/G24*100,"")</f>
        <v/>
      </c>
      <c r="I24" s="11" t="str">
        <f aca="false">IF(H24="","",-H24)</f>
        <v/>
      </c>
      <c r="J24" s="28"/>
      <c r="K2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2026-10-15T18:52:57Z</dcterms:created>
  <dc:creator>openpyxl</dc:creator>
  <dc:description/>
  <dc:language>en-US</dc:language>
  <cp:lastModifiedBy/>
  <dcterms:modified xsi:type="dcterms:W3CDTF">2026-10-15T18:52:57Z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